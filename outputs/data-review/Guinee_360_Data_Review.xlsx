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5ea4f4b23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ue" sheetId="1" r:id="R35b8285de62a4367"/>
    <x:sheet xmlns:r="http://schemas.openxmlformats.org/officeDocument/2006/relationships" name="Références" sheetId="2" r:id="R407f7a2d6164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9">
    <x:font>
      <x:sz val="11"/>
      <x:name val="Carlito"/>
    </x:font>
    <x:font>
      <x:b/>
      <x:sz val="15"/>
      <x:color rgb="FF10232D"/>
      <x:name val="Arial"/>
    </x:font>
    <x:font>
      <x:i/>
      <x:sz val="10"/>
      <x:color rgb="FF4B5563"/>
      <x:name val="Arial"/>
    </x:font>
    <x:font>
      <x:b/>
      <x:sz val="10"/>
      <x:color rgb="FF10232D"/>
      <x:name val="Arial"/>
    </x:font>
    <x:font>
      <x:b/>
      <x:sz val="12"/>
      <x:color rgb="FF10232D"/>
      <x:name val="Arial"/>
    </x:font>
    <x:font>
      <x:i/>
      <x:sz val="9"/>
      <x:color rgb="FF4B5563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10232D"/>
      </x:patternFill>
    </x:fill>
    <x:fill>
      <x:patternFill patternType="solid">
        <x:fgColor rgb="FFFFFBEA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10232D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3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horizontal="center" wrapText="1"/>
    </x:xf>
    <x:xf numFmtId="0" fontId="7" fillId="3" borderId="5" xfId="0" applyNumberFormat="1" applyFont="1" applyFill="1" applyBorder="1" applyAlignment="1">
      <x:alignment horizontal="center" wrapText="1"/>
    </x:xf>
    <x:xf numFmtId="0" fontId="7" fillId="3" borderId="6" xfId="0" applyNumberFormat="1" applyFont="1" applyFill="1" applyBorder="1" applyAlignment="1">
      <x:alignment horizont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8" fillId="0" borderId="0" xfId="0" applyNumberFormat="1" applyFont="1" applyFill="1" applyBorder="1"/>
    <x:xf numFmtId="0" fontId="7" fillId="3" borderId="7" xfId="0" applyNumberFormat="1" applyFont="1" applyFill="1" applyBorder="1" applyAlignment="1">
      <x:alignment horizontal="center"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7" fillId="3" borderId="9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/>
    <x:xf numFmtId="0" fontId="6" fillId="0" borderId="10" xfId="0" applyNumberFormat="1" applyFont="1" applyFill="1" applyBorder="1"/>
    <x:xf numFmtId="0" fontId="6" fillId="0" borderId="2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horizontal="center" vertical="center" wrapText="1"/>
    </x:xf>
    <x:xf numFmtId="0" fontId="7" fillId="3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7A5E"/>
      </x:font>
      <x:fill>
        <x:patternFill patternType="solid">
          <x:bgColor rgb="FFDCFCE7"/>
        </x:patternFill>
      </x:fill>
    </x:dxf>
    <x:dxf>
      <x:font>
        <x:b/>
        <x:color rgb="FFCE11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CE11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c186933bd47d2" /><Relationship Type="http://schemas.openxmlformats.org/officeDocument/2006/relationships/theme" Target="/xl/theme/theme1.xml" Id="R922cd7b6f15c4c85" /><Relationship Type="http://schemas.openxmlformats.org/officeDocument/2006/relationships/sharedStrings" Target="/xl/sharedStrings.xml" Id="R5c62fa0f66314bea" /><Relationship Type="http://schemas.openxmlformats.org/officeDocument/2006/relationships/worksheet" Target="/xl/worksheets/sheet1.xml" Id="R35b8285de62a4367" /><Relationship Type="http://schemas.openxmlformats.org/officeDocument/2006/relationships/worksheet" Target="/xl/worksheets/sheet2.xml" Id="R407f7a2d61644822" /></Relationships>
</file>

<file path=xl/tables/table1.xml><?xml version="1.0" encoding="utf-8"?>
<x:table xmlns:x="http://schemas.openxmlformats.org/spreadsheetml/2006/main" id="1" name="Guinee360ReviewTable" displayName="Guinee360ReviewTable" ref="A8:AA678" headerRowCount="1" totalsRowCount="0" totalsRowShown="0">
  <x:autoFilter ref="A8:AA678"/>
  <x:tableColumns count="27">
    <x:tableColumn id="1" name="Statut de revue"/>
    <x:tableColumn id="2" name="Responsable"/>
    <x:tableColumn id="3" name="Date de revue"/>
    <x:tableColumn id="4" name="Vérification APIP"/>
    <x:tableColumn id="5" name="N° RCCM"/>
    <x:tableColumn id="6" name="Source de vérification"/>
    <x:tableColumn id="7" name="Commentaires"/>
    <x:tableColumn id="8" name="Alerte doublon"/>
    <x:tableColumn id="9" name="Motif doublon"/>
    <x:tableColumn id="10" name="Nom"/>
    <x:tableColumn id="11" name="Catégorie"/>
    <x:tableColumn id="12" name="Sous-catégorie"/>
    <x:tableColumn id="13" name="Ville"/>
    <x:tableColumn id="14" name="Quartier"/>
    <x:tableColumn id="15" name="Adresse"/>
    <x:tableColumn id="16" name="Téléphone"/>
    <x:tableColumn id="17" name="E-mail"/>
    <x:tableColumn id="18" name="Site web"/>
    <x:tableColumn id="19" name="WhatsApp"/>
    <x:tableColumn id="20" name="Latitude"/>
    <x:tableColumn id="21" name="Longitude"/>
    <x:tableColumn id="22" name="Source OSM"/>
    <x:tableColumn id="23" name="ID source"/>
    <x:tableColumn id="24" name="Statut import"/>
    <x:tableColumn id="25" name="Clé nom + ville"/>
    <x:tableColumn id="26" name="Clé téléphone"/>
    <x:tableColumn id="27" name="Clé 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ead57ae320427a" /></Relationships>
</file>

<file path=xl/worksheets/sheet1.xml><?xml version="1.0" encoding="utf-8"?>
<x:worksheet xmlns:x="http://schemas.openxmlformats.org/spreadsheetml/2006/main">
  <x:sheetPr>
    <x:tabColor rgb="FF10232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3" hidden="0" customWidth="1"/>
    <x:col min="4" max="4" width="17" hidden="0" customWidth="1"/>
    <x:col min="5" max="5" width="19" hidden="0" customWidth="1"/>
    <x:col min="6" max="6" width="26" hidden="0" customWidth="1"/>
    <x:col min="7" max="7" width="32" hidden="0" customWidth="1"/>
    <x:col min="8" max="8" width="17" hidden="0" customWidth="1"/>
    <x:col min="9" max="9" width="15" hidden="0" customWidth="1"/>
    <x:col min="10" max="10" width="34" hidden="0" customWidth="1"/>
    <x:col min="11" max="11" width="24" hidden="0" customWidth="1"/>
    <x:col min="12" max="12" width="24" hidden="0" customWidth="1"/>
    <x:col min="13" max="13" width="20" hidden="0" customWidth="1"/>
    <x:col min="14" max="14" width="18" hidden="0" customWidth="1"/>
    <x:col min="15" max="15" width="30" hidden="0" customWidth="1"/>
    <x:col min="16" max="16" width="18" hidden="0" customWidth="1"/>
    <x:col min="17" max="17" width="28" hidden="0" customWidth="1"/>
    <x:col min="18" max="18" width="32" hidden="0" customWidth="1"/>
    <x:col min="19" max="19" width="18" hidden="0" customWidth="1"/>
    <x:col min="20" max="20" width="13" hidden="0" customWidth="1"/>
    <x:col min="21" max="21" width="13" hidden="0" customWidth="1"/>
    <x:col min="22" max="22" width="38" hidden="0" customWidth="1"/>
    <x:col min="23" max="23" width="20" hidden="0" customWidth="1"/>
    <x:col min="24" max="24" width="16" hidden="0" customWidth="1"/>
    <x:col min="25" max="25" width="32" hidden="0" customWidth="1"/>
    <x:col min="26" max="26" width="18" hidden="0" customWidth="1"/>
    <x:col min="27" max="27" width="30" hidden="0" customWidth="1"/>
  </x:cols>
  <x:sheetData>
    <x:row r="2">
      <x:c r="A2" s="2" t="str">
        <x:v>Guinée 360 — revue des données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File prioritaire OpenStreetMap. Chaque fiche doit être vérifiée avant publication.</x:v>
      </x:c>
    </x:row>
    <x:row r="4" ht="24" customHeight="1">
      <x:c r="A4" s="7" t="str">
        <x:v>Total</x:v>
      </x:c>
      <x:c r="B4" s="9" t="n">
        <x:f>COUNTA($W$9:$W$678)</x:f>
        <x:v>670</x:v>
      </x:c>
      <x:c r="C4" s="7" t="str">
        <x:v>À vérifier</x:v>
      </x:c>
      <x:c r="D4" s="8" t="n">
        <x:f>COUNTIFS($A$9:$A$678,"À vérifier")</x:f>
        <x:v>670</x:v>
      </x:c>
      <x:c r="E4" s="7" t="str">
        <x:v>Approuvés</x:v>
      </x:c>
      <x:c r="F4" s="8" t="n">
        <x:f>COUNTIFS($A$9:$A$678,"Vérifié - approuvé")</x:f>
        <x:v>0</x:v>
      </x:c>
      <x:c r="G4" s="7" t="str">
        <x:v>Doublons possibles</x:v>
      </x:c>
      <x:c r="H4" s="8" t="n">
        <x:f>COUNTIFS($H$9:$H$678,"Doublon possible")</x:f>
        <x:v>89</x:v>
      </x:c>
    </x:row>
    <x:row r="6">
      <x:c r="A6" s="10" t="str">
        <x:v>Source initiale : © contributeurs OpenStreetMap (ODbL). Validation légale : APIP/SYNERGUI.</x:v>
      </x:c>
    </x:row>
    <x:row r="8" ht="34" customHeight="1">
      <x:c r="A8" s="23" t="str">
        <x:v>Statut de revue</x:v>
      </x:c>
      <x:c r="B8" s="24" t="str">
        <x:v>Responsable</x:v>
      </x:c>
      <x:c r="C8" s="24" t="str">
        <x:v>Date de revue</x:v>
      </x:c>
      <x:c r="D8" s="24" t="str">
        <x:v>Vérification APIP</x:v>
      </x:c>
      <x:c r="E8" s="24" t="str">
        <x:v>N° RCCM</x:v>
      </x:c>
      <x:c r="F8" s="24" t="str">
        <x:v>Source de vérification</x:v>
      </x:c>
      <x:c r="G8" s="24" t="str">
        <x:v>Commentaires</x:v>
      </x:c>
      <x:c r="H8" s="24" t="str">
        <x:v>Alerte doublon</x:v>
      </x:c>
      <x:c r="I8" s="24" t="str">
        <x:v>Motif doublon</x:v>
      </x:c>
      <x:c r="J8" s="24" t="str">
        <x:v>Nom</x:v>
      </x:c>
      <x:c r="K8" s="24" t="str">
        <x:v>Catégorie</x:v>
      </x:c>
      <x:c r="L8" s="24" t="str">
        <x:v>Sous-catégorie</x:v>
      </x:c>
      <x:c r="M8" s="24" t="str">
        <x:v>Ville</x:v>
      </x:c>
      <x:c r="N8" s="24" t="str">
        <x:v>Quartier</x:v>
      </x:c>
      <x:c r="O8" s="24" t="str">
        <x:v>Adresse</x:v>
      </x:c>
      <x:c r="P8" s="24" t="str">
        <x:v>Téléphone</x:v>
      </x:c>
      <x:c r="Q8" s="24" t="str">
        <x:v>E-mail</x:v>
      </x:c>
      <x:c r="R8" s="24" t="str">
        <x:v>Site web</x:v>
      </x:c>
      <x:c r="S8" s="24" t="str">
        <x:v>WhatsApp</x:v>
      </x:c>
      <x:c r="T8" s="24" t="str">
        <x:v>Latitude</x:v>
      </x:c>
      <x:c r="U8" s="24" t="str">
        <x:v>Longitude</x:v>
      </x:c>
      <x:c r="V8" s="24" t="str">
        <x:v>Source OSM</x:v>
      </x:c>
      <x:c r="W8" s="24" t="str">
        <x:v>ID source</x:v>
      </x:c>
      <x:c r="X8" s="24" t="str">
        <x:v>Statut import</x:v>
      </x:c>
      <x:c r="Y8" s="24" t="str">
        <x:v>Clé nom + ville</x:v>
      </x:c>
      <x:c r="Z8" s="24" t="str">
        <x:v>Clé téléphone</x:v>
      </x:c>
      <x:c r="AA8" s="25" t="str">
        <x:v>Clé site</x:v>
      </x:c>
    </x:row>
    <x:row r="9">
      <x:c r="A9" s="30" t="str">
        <x:v>À vérifier</x:v>
      </x:c>
      <x:c r="B9" s="30" t="str"/>
      <x:c r="C9" s="31"/>
      <x:c r="D9" s="30" t="str">
        <x:v>Non vérifié</x:v>
      </x:c>
      <x:c r="E9" s="30" t="str"/>
      <x:c r="F9" s="30" t="str"/>
      <x:c r="G9" s="32" t="str"/>
      <x:c r="H9" s="33" t="str">
        <x:f>IF(I9&lt;&gt;"","Doublon possible","")</x:f>
      </x:c>
      <x:c r="I9" s="33" t="str">
        <x:f>IF(COUNTIFS($Y$9:$Y$678,Y9)&gt;1,"Nom + ville",IF(AND(Z9&lt;&gt;"",COUNTIFS($Z$9:$Z$678,Z9)&gt;1),"Téléphone",IF(AND(AA9&lt;&gt;"",COUNTIFS($AA$9:$AA$678,AA9)&gt;1),"Site web","")))</x:f>
      </x:c>
      <x:c r="J9" s="33" t="str">
        <x:v>Agence de Promotion des Investissements Privés (APIP-Guinée)</x:v>
      </x:c>
      <x:c r="K9" s="33" t="str">
        <x:v>Administration publique</x:v>
      </x:c>
      <x:c r="L9" s="33" t="str">
        <x:v>Ministères</x:v>
      </x:c>
      <x:c r="M9" s="33" t="str">
        <x:v>Conakry (à vérifier)</x:v>
      </x:c>
      <x:c r="N9" s="33" t="str"/>
      <x:c r="O9" s="33" t="str"/>
      <x:c r="P9" s="33" t="str">
        <x:v>656311114</x:v>
      </x:c>
      <x:c r="Q9" s="33" t="str">
        <x:v>info@apipi.gov.gn</x:v>
      </x:c>
      <x:c r="R9" s="33" t="str">
        <x:v>https://apip.gov.gn/</x:v>
      </x:c>
      <x:c r="S9" s="33" t="str"/>
      <x:c r="T9" s="35" t="n">
        <x:v>9.5090973</x:v>
      </x:c>
      <x:c r="U9" s="35" t="n">
        <x:v>-13.7165445</x:v>
      </x:c>
      <x:c r="V9" s="33" t="str">
        <x:v>https://www.openstreetmap.org/node/5250348527</x:v>
      </x:c>
      <x:c r="W9" s="33" t="str">
        <x:v>node/5250348527</x:v>
      </x:c>
      <x:c r="X9" s="33" t="str">
        <x:v>review_required</x:v>
      </x:c>
      <x:c r="Y9" s="33" t="str">
        <x:v>agence de promotion des investissements prives apip guinee|conakry a verifier</x:v>
      </x:c>
      <x:c r="Z9" s="33" t="str">
        <x:v>224656311114</x:v>
      </x:c>
      <x:c r="AA9" s="33" t="str">
        <x:v>apip.gov.gn</x:v>
      </x:c>
    </x:row>
    <x:row r="10">
      <x:c r="A10" s="30" t="str">
        <x:v>À vérifier</x:v>
      </x:c>
      <x:c r="B10" s="30" t="str"/>
      <x:c r="C10" s="31"/>
      <x:c r="D10" s="30" t="str">
        <x:v>Non vérifié</x:v>
      </x:c>
      <x:c r="E10" s="30" t="str"/>
      <x:c r="F10" s="30" t="str"/>
      <x:c r="G10" s="32" t="str"/>
      <x:c r="H10" s="33" t="str">
        <x:f>IF(I10&lt;&gt;"","Doublon possible","")</x:f>
        <x:v>Doublon possible</x:v>
      </x:c>
      <x:c r="I10" s="33" t="str">
        <x:f>IF(COUNTIFS($Y$9:$Y$678,Y10)&gt;1,"Nom + ville",IF(AND(Z10&lt;&gt;"",COUNTIFS($Z$9:$Z$678,Z10)&gt;1),"Téléphone",IF(AND(AA10&lt;&gt;"",COUNTIFS($AA$9:$AA$678,AA10)&gt;1),"Site web","")))</x:f>
        <x:v>Nom + ville</x:v>
      </x:c>
      <x:c r="J10" s="33" t="str">
        <x:v>Agence Nationale du Volontariat Jeunesse</x:v>
      </x:c>
      <x:c r="K10" s="33" t="str">
        <x:v>Administration publique</x:v>
      </x:c>
      <x:c r="L10" s="33" t="str">
        <x:v>Ministères</x:v>
      </x:c>
      <x:c r="M10" s="33" t="str">
        <x:v>Conakry (à vérifier)</x:v>
      </x:c>
      <x:c r="N10" s="33" t="str"/>
      <x:c r="O10" s="33" t="str">
        <x:v>3eme et 5 ème étage</x:v>
      </x:c>
      <x:c r="P10" s="33" t="str">
        <x:v>+224620784332</x:v>
      </x:c>
      <x:c r="Q10" s="33" t="str"/>
      <x:c r="R10" s="33" t="str">
        <x:v>https://www.anvjguinee.org/</x:v>
      </x:c>
      <x:c r="S10" s="33" t="str"/>
      <x:c r="T10" s="35" t="n">
        <x:v>9.50949</x:v>
      </x:c>
      <x:c r="U10" s="35" t="n">
        <x:v>-13.7113183</x:v>
      </x:c>
      <x:c r="V10" s="33" t="str">
        <x:v>https://www.openstreetmap.org/node/7713308126</x:v>
      </x:c>
      <x:c r="W10" s="33" t="str">
        <x:v>node/7713308126</x:v>
      </x:c>
      <x:c r="X10" s="33" t="str">
        <x:v>review_required</x:v>
      </x:c>
      <x:c r="Y10" s="33" t="str">
        <x:v>agence nationale du volontariat jeunesse|conakry a verifier</x:v>
      </x:c>
      <x:c r="Z10" s="33" t="str">
        <x:v>224620784332</x:v>
      </x:c>
      <x:c r="AA10" s="33" t="str">
        <x:v>anvjguinee.org</x:v>
      </x:c>
    </x:row>
    <x:row r="11">
      <x:c r="A11" s="30" t="str">
        <x:v>À vérifier</x:v>
      </x:c>
      <x:c r="B11" s="30" t="str"/>
      <x:c r="C11" s="31"/>
      <x:c r="D11" s="30" t="str">
        <x:v>Non vérifié</x:v>
      </x:c>
      <x:c r="E11" s="30" t="str"/>
      <x:c r="F11" s="30" t="str"/>
      <x:c r="G11" s="32" t="str"/>
      <x:c r="H11" s="33" t="str">
        <x:f>IF(I11&lt;&gt;"","Doublon possible","")</x:f>
        <x:v>Doublon possible</x:v>
      </x:c>
      <x:c r="I11" s="33" t="str">
        <x:f>IF(COUNTIFS($Y$9:$Y$678,Y11)&gt;1,"Nom + ville",IF(AND(Z11&lt;&gt;"",COUNTIFS($Z$9:$Z$678,Z11)&gt;1),"Téléphone",IF(AND(AA11&lt;&gt;"",COUNTIFS($AA$9:$AA$678,AA11)&gt;1),"Site web","")))</x:f>
        <x:v>Nom + ville</x:v>
      </x:c>
      <x:c r="J11" s="33" t="str">
        <x:v>Agence Nationale du Volontariat Jeunesse</x:v>
      </x:c>
      <x:c r="K11" s="33" t="str">
        <x:v>Administration publique</x:v>
      </x:c>
      <x:c r="L11" s="33" t="str">
        <x:v>Ministères</x:v>
      </x:c>
      <x:c r="M11" s="33" t="str">
        <x:v>Conakry (à vérifier)</x:v>
      </x:c>
      <x:c r="N11" s="33" t="str"/>
      <x:c r="O11" s="33" t="str">
        <x:v>3eme et 5eme etage Rue KA.026</x:v>
      </x:c>
      <x:c r="P11" s="33" t="str">
        <x:v>00224620784332</x:v>
      </x:c>
      <x:c r="Q11" s="33" t="str"/>
      <x:c r="R11" s="33" t="str">
        <x:v>https://www.anvjguinee.org/</x:v>
      </x:c>
      <x:c r="S11" s="33" t="str"/>
      <x:c r="T11" s="35" t="n">
        <x:v>9.50949</x:v>
      </x:c>
      <x:c r="U11" s="35" t="n">
        <x:v>-13.711318</x:v>
      </x:c>
      <x:c r="V11" s="33" t="str">
        <x:v>https://www.openstreetmap.org/node/7717482090</x:v>
      </x:c>
      <x:c r="W11" s="33" t="str">
        <x:v>node/7717482090</x:v>
      </x:c>
      <x:c r="X11" s="33" t="str">
        <x:v>review_required</x:v>
      </x:c>
      <x:c r="Y11" s="33" t="str">
        <x:v>agence nationale du volontariat jeunesse|conakry a verifier</x:v>
      </x:c>
      <x:c r="Z11" s="33" t="str">
        <x:v>224620784332</x:v>
      </x:c>
      <x:c r="AA11" s="33" t="str">
        <x:v>anvjguinee.org</x:v>
      </x:c>
    </x:row>
    <x:row r="12">
      <x:c r="A12" s="30" t="str">
        <x:v>À vérifier</x:v>
      </x:c>
      <x:c r="B12" s="30" t="str"/>
      <x:c r="C12" s="31"/>
      <x:c r="D12" s="30" t="str">
        <x:v>Non vérifié</x:v>
      </x:c>
      <x:c r="E12" s="30" t="str"/>
      <x:c r="F12" s="30" t="str"/>
      <x:c r="G12" s="32" t="str"/>
      <x:c r="H12" s="33" t="str">
        <x:f>IF(I12&lt;&gt;"","Doublon possible","")</x:f>
        <x:v>Doublon possible</x:v>
      </x:c>
      <x:c r="I12" s="33" t="str">
        <x:f>IF(COUNTIFS($Y$9:$Y$678,Y12)&gt;1,"Nom + ville",IF(AND(Z12&lt;&gt;"",COUNTIFS($Z$9:$Z$678,Z12)&gt;1),"Téléphone",IF(AND(AA12&lt;&gt;"",COUNTIFS($AA$9:$AA$678,AA12)&gt;1),"Site web","")))</x:f>
        <x:v>Site web</x:v>
      </x:c>
      <x:c r="J12" s="33" t="str">
        <x:v>Bureau d'Echange (CNT)</x:v>
      </x:c>
      <x:c r="K12" s="33" t="str">
        <x:v>Administration publique</x:v>
      </x:c>
      <x:c r="L12" s="33" t="str">
        <x:v>Ministères</x:v>
      </x:c>
      <x:c r="M12" s="33" t="str">
        <x:v>Conakry (à vérifier)</x:v>
      </x:c>
      <x:c r="N12" s="33" t="str"/>
      <x:c r="O12" s="33" t="str">
        <x:v>Avenue William Tubman</x:v>
      </x:c>
      <x:c r="P12" s="33" t="str"/>
      <x:c r="Q12" s="33" t="str">
        <x:v>infopostegn@gmail.com</x:v>
      </x:c>
      <x:c r="R12" s="33" t="str">
        <x:v>http://www.laposteguineenne.post</x:v>
      </x:c>
      <x:c r="S12" s="33" t="str"/>
      <x:c r="T12" s="35" t="n">
        <x:v>9.5117705</x:v>
      </x:c>
      <x:c r="U12" s="35" t="n">
        <x:v>-13.7131749</x:v>
      </x:c>
      <x:c r="V12" s="33" t="str">
        <x:v>https://www.openstreetmap.org/node/5873532391</x:v>
      </x:c>
      <x:c r="W12" s="33" t="str">
        <x:v>node/5873532391</x:v>
      </x:c>
      <x:c r="X12" s="33" t="str">
        <x:v>review_required</x:v>
      </x:c>
      <x:c r="Y12" s="33" t="str">
        <x:v>bureau d echange cnt|conakry a verifier</x:v>
      </x:c>
      <x:c r="Z12" s="33" t="str"/>
      <x:c r="AA12" s="33" t="str">
        <x:v>laposteguineenne.post</x:v>
      </x:c>
    </x:row>
    <x:row r="13">
      <x:c r="A13" s="30" t="str">
        <x:v>À vérifier</x:v>
      </x:c>
      <x:c r="B13" s="30" t="str"/>
      <x:c r="C13" s="31"/>
      <x:c r="D13" s="30" t="str">
        <x:v>Non vérifié</x:v>
      </x:c>
      <x:c r="E13" s="30" t="str"/>
      <x:c r="F13" s="30" t="str"/>
      <x:c r="G13" s="32" t="str"/>
      <x:c r="H13" s="33" t="str">
        <x:f>IF(I13&lt;&gt;"","Doublon possible","")</x:f>
      </x:c>
      <x:c r="I13" s="33" t="str">
        <x:f>IF(COUNTIFS($Y$9:$Y$678,Y13)&gt;1,"Nom + ville",IF(AND(Z13&lt;&gt;"",COUNTIFS($Z$9:$Z$678,Z13)&gt;1),"Téléphone",IF(AND(AA13&lt;&gt;"",COUNTIFS($AA$9:$AA$678,AA13)&gt;1),"Site web","")))</x:f>
      </x:c>
      <x:c r="J13" s="33" t="str">
        <x:v>Bureau du conseil du quartier Tombo</x:v>
      </x:c>
      <x:c r="K13" s="33" t="str">
        <x:v>Administration publique</x:v>
      </x:c>
      <x:c r="L13" s="33" t="str">
        <x:v>Ministères</x:v>
      </x:c>
      <x:c r="M13" s="33" t="str">
        <x:v>Conakry (à vérifier)</x:v>
      </x:c>
      <x:c r="N13" s="33" t="str"/>
      <x:c r="O13" s="33" t="str"/>
      <x:c r="P13" s="33" t="str">
        <x:v>+224621682999</x:v>
      </x:c>
      <x:c r="Q13" s="33" t="str"/>
      <x:c r="R13" s="33" t="str"/>
      <x:c r="S13" s="33" t="str"/>
      <x:c r="T13" s="35" t="n">
        <x:v>9.5165055</x:v>
      </x:c>
      <x:c r="U13" s="35" t="n">
        <x:v>-13.6988034</x:v>
      </x:c>
      <x:c r="V13" s="33" t="str">
        <x:v>https://www.openstreetmap.org/node/5991403375</x:v>
      </x:c>
      <x:c r="W13" s="33" t="str">
        <x:v>node/5991403375</x:v>
      </x:c>
      <x:c r="X13" s="33" t="str">
        <x:v>review_required</x:v>
      </x:c>
      <x:c r="Y13" s="33" t="str">
        <x:v>bureau du conseil du quartier tombo|conakry a verifier</x:v>
      </x:c>
      <x:c r="Z13" s="33" t="str">
        <x:v>224621682999</x:v>
      </x:c>
      <x:c r="AA13" s="33" t="str"/>
    </x:row>
    <x:row r="14">
      <x:c r="A14" s="30" t="str">
        <x:v>À vérifier</x:v>
      </x:c>
      <x:c r="B14" s="30" t="str"/>
      <x:c r="C14" s="31"/>
      <x:c r="D14" s="30" t="str">
        <x:v>Non vérifié</x:v>
      </x:c>
      <x:c r="E14" s="30" t="str"/>
      <x:c r="F14" s="30" t="str"/>
      <x:c r="G14" s="32" t="str"/>
      <x:c r="H14" s="33" t="str">
        <x:f>IF(I14&lt;&gt;"","Doublon possible","")</x:f>
      </x:c>
      <x:c r="I14" s="33" t="str">
        <x:f>IF(COUNTIFS($Y$9:$Y$678,Y14)&gt;1,"Nom + ville",IF(AND(Z14&lt;&gt;"",COUNTIFS($Z$9:$Z$678,Z14)&gt;1),"Téléphone",IF(AND(AA14&lt;&gt;"",COUNTIFS($AA$9:$AA$678,AA14)&gt;1),"Site web","")))</x:f>
      </x:c>
      <x:c r="J14" s="33" t="str">
        <x:v>Cour Constitutionnelle</x:v>
      </x:c>
      <x:c r="K14" s="33" t="str">
        <x:v>Administration publique</x:v>
      </x:c>
      <x:c r="L14" s="33" t="str">
        <x:v>Justice</x:v>
      </x:c>
      <x:c r="M14" s="33" t="str">
        <x:v>Conakry (à vérifier)</x:v>
      </x:c>
      <x:c r="N14" s="33" t="str"/>
      <x:c r="O14" s="33" t="str"/>
      <x:c r="P14" s="33" t="str"/>
      <x:c r="Q14" s="33" t="str">
        <x:v>contact@courconstitionnelleguinee.org</x:v>
      </x:c>
      <x:c r="R14" s="33" t="str">
        <x:v>www.courconstitutionnelleguinee.org</x:v>
      </x:c>
      <x:c r="S14" s="33" t="str"/>
      <x:c r="T14" s="35" t="n">
        <x:v>9.512713</x:v>
      </x:c>
      <x:c r="U14" s="35" t="n">
        <x:v>-13.716231</x:v>
      </x:c>
      <x:c r="V14" s="33" t="str">
        <x:v>https://www.openstreetmap.org/node/5739440971</x:v>
      </x:c>
      <x:c r="W14" s="33" t="str">
        <x:v>node/5739440971</x:v>
      </x:c>
      <x:c r="X14" s="33" t="str">
        <x:v>review_required</x:v>
      </x:c>
      <x:c r="Y14" s="33" t="str">
        <x:v>cour constitutionnelle|conakry a verifier</x:v>
      </x:c>
      <x:c r="Z14" s="33" t="str"/>
      <x:c r="AA14" s="33" t="str">
        <x:v>courconstitutionnelleguinee.org</x:v>
      </x:c>
    </x:row>
    <x:row r="15">
      <x:c r="A15" s="30" t="str">
        <x:v>À vérifier</x:v>
      </x:c>
      <x:c r="B15" s="30" t="str"/>
      <x:c r="C15" s="31"/>
      <x:c r="D15" s="30" t="str">
        <x:v>Non vérifié</x:v>
      </x:c>
      <x:c r="E15" s="30" t="str"/>
      <x:c r="F15" s="30" t="str"/>
      <x:c r="G15" s="32" t="str"/>
      <x:c r="H15" s="33" t="str">
        <x:f>IF(I15&lt;&gt;"","Doublon possible","")</x:f>
      </x:c>
      <x:c r="I15" s="33" t="str">
        <x:f>IF(COUNTIFS($Y$9:$Y$678,Y15)&gt;1,"Nom + ville",IF(AND(Z15&lt;&gt;"",COUNTIFS($Z$9:$Z$678,Z15)&gt;1),"Téléphone",IF(AND(AA15&lt;&gt;"",COUNTIFS($AA$9:$AA$678,AA15)&gt;1),"Site web","")))</x:f>
      </x:c>
      <x:c r="J15" s="33" t="str">
        <x:v>DCE de Matoto</x:v>
      </x:c>
      <x:c r="K15" s="33" t="str">
        <x:v>Administration publique</x:v>
      </x:c>
      <x:c r="L15" s="33" t="str">
        <x:v>Ministères</x:v>
      </x:c>
      <x:c r="M15" s="33" t="str">
        <x:v>Conakry (à vérifier)</x:v>
      </x:c>
      <x:c r="N15" s="33" t="str"/>
      <x:c r="O15" s="33" t="str">
        <x:v>Rue MO. 520</x:v>
      </x:c>
      <x:c r="P15" s="33" t="str"/>
      <x:c r="Q15" s="33" t="str"/>
      <x:c r="R15" s="33" t="str"/>
      <x:c r="S15" s="33" t="str"/>
      <x:c r="T15" s="35" t="n">
        <x:v>9.6026301</x:v>
      </x:c>
      <x:c r="U15" s="35" t="n">
        <x:v>-13.5994348</x:v>
      </x:c>
      <x:c r="V15" s="33" t="str">
        <x:v>https://www.openstreetmap.org/node/6579487285</x:v>
      </x:c>
      <x:c r="W15" s="33" t="str">
        <x:v>node/6579487285</x:v>
      </x:c>
      <x:c r="X15" s="33" t="str">
        <x:v>review_required</x:v>
      </x:c>
      <x:c r="Y15" s="33" t="str">
        <x:v>dce de matoto|conakry a verifier</x:v>
      </x:c>
      <x:c r="Z15" s="33" t="str"/>
      <x:c r="AA15" s="33" t="str"/>
    </x:row>
    <x:row r="16">
      <x:c r="A16" s="30" t="str">
        <x:v>À vérifier</x:v>
      </x:c>
      <x:c r="B16" s="30" t="str"/>
      <x:c r="C16" s="31"/>
      <x:c r="D16" s="30" t="str">
        <x:v>Non vérifié</x:v>
      </x:c>
      <x:c r="E16" s="30" t="str"/>
      <x:c r="F16" s="30" t="str"/>
      <x:c r="G16" s="32" t="str"/>
      <x:c r="H16" s="33" t="str">
        <x:f>IF(I16&lt;&gt;"","Doublon possible","")</x:f>
      </x:c>
      <x:c r="I16" s="33" t="str">
        <x:f>IF(COUNTIFS($Y$9:$Y$678,Y16)&gt;1,"Nom + ville",IF(AND(Z16&lt;&gt;"",COUNTIFS($Z$9:$Z$678,Z16)&gt;1),"Téléphone",IF(AND(AA16&lt;&gt;"",COUNTIFS($AA$9:$AA$678,AA16)&gt;1),"Site web","")))</x:f>
      </x:c>
      <x:c r="J16" s="33" t="str">
        <x:v>Direction Nationale de la Météorologie</x:v>
      </x:c>
      <x:c r="K16" s="33" t="str">
        <x:v>Administration publique</x:v>
      </x:c>
      <x:c r="L16" s="33" t="str">
        <x:v>Ministères</x:v>
      </x:c>
      <x:c r="M16" s="33" t="str">
        <x:v>Conakry (à vérifier)</x:v>
      </x:c>
      <x:c r="N16" s="33" t="str"/>
      <x:c r="O16" s="33" t="str">
        <x:v>Fidèle Castro</x:v>
      </x:c>
      <x:c r="P16" s="33" t="str"/>
      <x:c r="Q16" s="33" t="str"/>
      <x:c r="R16" s="33" t="str"/>
      <x:c r="S16" s="33" t="str"/>
      <x:c r="T16" s="35" t="n">
        <x:v>9.5238225</x:v>
      </x:c>
      <x:c r="U16" s="35" t="n">
        <x:v>-13.6898116</x:v>
      </x:c>
      <x:c r="V16" s="33" t="str">
        <x:v>https://www.openstreetmap.org/node/6532102814</x:v>
      </x:c>
      <x:c r="W16" s="33" t="str">
        <x:v>node/6532102814</x:v>
      </x:c>
      <x:c r="X16" s="33" t="str">
        <x:v>review_required</x:v>
      </x:c>
      <x:c r="Y16" s="33" t="str">
        <x:v>direction nationale de la meteorologie|conakry a verifier</x:v>
      </x:c>
      <x:c r="Z16" s="33" t="str"/>
      <x:c r="AA16" s="33" t="str"/>
    </x:row>
    <x:row r="17">
      <x:c r="A17" s="30" t="str">
        <x:v>À vérifier</x:v>
      </x:c>
      <x:c r="B17" s="30" t="str"/>
      <x:c r="C17" s="31"/>
      <x:c r="D17" s="30" t="str">
        <x:v>Non vérifié</x:v>
      </x:c>
      <x:c r="E17" s="30" t="str"/>
      <x:c r="F17" s="30" t="str"/>
      <x:c r="G17" s="32" t="str"/>
      <x:c r="H17" s="33" t="str">
        <x:f>IF(I17&lt;&gt;"","Doublon possible","")</x:f>
      </x:c>
      <x:c r="I17" s="33" t="str">
        <x:f>IF(COUNTIFS($Y$9:$Y$678,Y17)&gt;1,"Nom + ville",IF(AND(Z17&lt;&gt;"",COUNTIFS($Z$9:$Z$678,Z17)&gt;1),"Téléphone",IF(AND(AA17&lt;&gt;"",COUNTIFS($AA$9:$AA$678,AA17)&gt;1),"Site web","")))</x:f>
      </x:c>
      <x:c r="J17" s="33" t="str">
        <x:v>Direction Nationale des Impôts</x:v>
      </x:c>
      <x:c r="K17" s="33" t="str">
        <x:v>Administration publique</x:v>
      </x:c>
      <x:c r="L17" s="33" t="str">
        <x:v>Ministères</x:v>
      </x:c>
      <x:c r="M17" s="33" t="str">
        <x:v>Conakry (à vérifier)</x:v>
      </x:c>
      <x:c r="N17" s="33" t="str"/>
      <x:c r="O17" s="33" t="str">
        <x:v>9e Avenue</x:v>
      </x:c>
      <x:c r="P17" s="33" t="str"/>
      <x:c r="Q17" s="33" t="str"/>
      <x:c r="R17" s="33" t="str">
        <x:v>http://www.dni.gov.gn</x:v>
      </x:c>
      <x:c r="S17" s="33" t="str"/>
      <x:c r="T17" s="35" t="n">
        <x:v>9.5133294</x:v>
      </x:c>
      <x:c r="U17" s="35" t="n">
        <x:v>-13.7174525</x:v>
      </x:c>
      <x:c r="V17" s="33" t="str">
        <x:v>https://www.openstreetmap.org/node/5225404523</x:v>
      </x:c>
      <x:c r="W17" s="33" t="str">
        <x:v>node/5225404523</x:v>
      </x:c>
      <x:c r="X17" s="33" t="str">
        <x:v>review_required</x:v>
      </x:c>
      <x:c r="Y17" s="33" t="str">
        <x:v>direction nationale des impots|conakry a verifier</x:v>
      </x:c>
      <x:c r="Z17" s="33" t="str"/>
      <x:c r="AA17" s="33" t="str">
        <x:v>dni.gov.gn</x:v>
      </x:c>
    </x:row>
    <x:row r="18">
      <x:c r="A18" s="30" t="str">
        <x:v>À vérifier</x:v>
      </x:c>
      <x:c r="B18" s="30" t="str"/>
      <x:c r="C18" s="31"/>
      <x:c r="D18" s="30" t="str">
        <x:v>Non vérifié</x:v>
      </x:c>
      <x:c r="E18" s="30" t="str"/>
      <x:c r="F18" s="30" t="str"/>
      <x:c r="G18" s="32" t="str"/>
      <x:c r="H18" s="33" t="str">
        <x:f>IF(I18&lt;&gt;"","Doublon possible","")</x:f>
      </x:c>
      <x:c r="I18" s="33" t="str">
        <x:f>IF(COUNTIFS($Y$9:$Y$678,Y18)&gt;1,"Nom + ville",IF(AND(Z18&lt;&gt;"",COUNTIFS($Z$9:$Z$678,Z18)&gt;1),"Téléphone",IF(AND(AA18&lt;&gt;"",COUNTIFS($AA$9:$AA$678,AA18)&gt;1),"Site web","")))</x:f>
      </x:c>
      <x:c r="J18" s="33" t="str">
        <x:v>Direction Port Autonome de Conakry PAC</x:v>
      </x:c>
      <x:c r="K18" s="33" t="str">
        <x:v>Administration publique</x:v>
      </x:c>
      <x:c r="L18" s="33" t="str">
        <x:v>Ministères</x:v>
      </x:c>
      <x:c r="M18" s="33" t="str">
        <x:v>Conakry (à vérifier)</x:v>
      </x:c>
      <x:c r="N18" s="33" t="str"/>
      <x:c r="O18" s="33" t="str">
        <x:v>N1</x:v>
      </x:c>
      <x:c r="P18" s="33" t="str"/>
      <x:c r="Q18" s="33" t="str"/>
      <x:c r="R18" s="33" t="str"/>
      <x:c r="S18" s="33" t="str"/>
      <x:c r="T18" s="35" t="n">
        <x:v>9.5166286</x:v>
      </x:c>
      <x:c r="U18" s="35" t="n">
        <x:v>-13.71249</x:v>
      </x:c>
      <x:c r="V18" s="33" t="str">
        <x:v>https://www.openstreetmap.org/way/94836996</x:v>
      </x:c>
      <x:c r="W18" s="33" t="str">
        <x:v>way/94836996</x:v>
      </x:c>
      <x:c r="X18" s="33" t="str">
        <x:v>review_required</x:v>
      </x:c>
      <x:c r="Y18" s="33" t="str">
        <x:v>direction port autonome de conakry pac|conakry a verifier</x:v>
      </x:c>
      <x:c r="Z18" s="33" t="str"/>
      <x:c r="AA18" s="33" t="str"/>
    </x:row>
    <x:row r="19">
      <x:c r="A19" s="30" t="str">
        <x:v>À vérifier</x:v>
      </x:c>
      <x:c r="B19" s="30" t="str"/>
      <x:c r="C19" s="31"/>
      <x:c r="D19" s="30" t="str">
        <x:v>Non vérifié</x:v>
      </x:c>
      <x:c r="E19" s="30" t="str"/>
      <x:c r="F19" s="30" t="str"/>
      <x:c r="G19" s="32" t="str"/>
      <x:c r="H19" s="33" t="str">
        <x:f>IF(I19&lt;&gt;"","Doublon possible","")</x:f>
      </x:c>
      <x:c r="I19" s="33" t="str">
        <x:f>IF(COUNTIFS($Y$9:$Y$678,Y19)&gt;1,"Nom + ville",IF(AND(Z19&lt;&gt;"",COUNTIFS($Z$9:$Z$678,Z19)&gt;1),"Téléphone",IF(AND(AA19&lt;&gt;"",COUNTIFS($AA$9:$AA$678,AA19)&gt;1),"Site web","")))</x:f>
      </x:c>
      <x:c r="J19" s="33" t="str">
        <x:v>INS</x:v>
      </x:c>
      <x:c r="K19" s="33" t="str">
        <x:v>Administration publique</x:v>
      </x:c>
      <x:c r="L19" s="33" t="str">
        <x:v>Ministères</x:v>
      </x:c>
      <x:c r="M19" s="33" t="str">
        <x:v>Conakry (à vérifier)</x:v>
      </x:c>
      <x:c r="N19" s="33" t="str"/>
      <x:c r="O19" s="33" t="str"/>
      <x:c r="P19" s="33" t="str"/>
      <x:c r="Q19" s="33" t="str"/>
      <x:c r="R19" s="33" t="str">
        <x:v>https://www.stat-guinee.org/</x:v>
      </x:c>
      <x:c r="S19" s="33" t="str"/>
      <x:c r="T19" s="35" t="n">
        <x:v>9.5097727</x:v>
      </x:c>
      <x:c r="U19" s="35" t="n">
        <x:v>-13.7079683</x:v>
      </x:c>
      <x:c r="V19" s="33" t="str">
        <x:v>https://www.openstreetmap.org/node/5330243969</x:v>
      </x:c>
      <x:c r="W19" s="33" t="str">
        <x:v>node/5330243969</x:v>
      </x:c>
      <x:c r="X19" s="33" t="str">
        <x:v>review_required</x:v>
      </x:c>
      <x:c r="Y19" s="33" t="str">
        <x:v>ins|conakry a verifier</x:v>
      </x:c>
      <x:c r="Z19" s="33" t="str"/>
      <x:c r="AA19" s="33" t="str">
        <x:v>stat-guinee.org</x:v>
      </x:c>
    </x:row>
    <x:row r="20">
      <x:c r="A20" s="30" t="str">
        <x:v>À vérifier</x:v>
      </x:c>
      <x:c r="B20" s="30" t="str"/>
      <x:c r="C20" s="31"/>
      <x:c r="D20" s="30" t="str">
        <x:v>Non vérifié</x:v>
      </x:c>
      <x:c r="E20" s="30" t="str"/>
      <x:c r="F20" s="30" t="str"/>
      <x:c r="G20" s="32" t="str"/>
      <x:c r="H20" s="33" t="str">
        <x:f>IF(I20&lt;&gt;"","Doublon possible","")</x:f>
      </x:c>
      <x:c r="I20" s="33" t="str">
        <x:f>IF(COUNTIFS($Y$9:$Y$678,Y20)&gt;1,"Nom + ville",IF(AND(Z20&lt;&gt;"",COUNTIFS($Z$9:$Z$678,Z20)&gt;1),"Téléphone",IF(AND(AA20&lt;&gt;"",COUNTIFS($AA$9:$AA$678,AA20)&gt;1),"Site web","")))</x:f>
      </x:c>
      <x:c r="J20" s="33" t="str">
        <x:v>Institut guinéen de normalisation et de métrologie</x:v>
      </x:c>
      <x:c r="K20" s="33" t="str">
        <x:v>Administration publique</x:v>
      </x:c>
      <x:c r="L20" s="33" t="str">
        <x:v>Ministères</x:v>
      </x:c>
      <x:c r="M20" s="33" t="str">
        <x:v>Conakry (à vérifier)</x:v>
      </x:c>
      <x:c r="N20" s="33" t="str"/>
      <x:c r="O20" s="33" t="str">
        <x:v>819 ka003</x:v>
      </x:c>
      <x:c r="P20" s="33" t="str"/>
      <x:c r="Q20" s="33" t="str"/>
      <x:c r="R20" s="33" t="str"/>
      <x:c r="S20" s="33" t="str"/>
      <x:c r="T20" s="35" t="n">
        <x:v>9.5122426</x:v>
      </x:c>
      <x:c r="U20" s="35" t="n">
        <x:v>-13.7171524</x:v>
      </x:c>
      <x:c r="V20" s="33" t="str">
        <x:v>https://www.openstreetmap.org/node/6055844917</x:v>
      </x:c>
      <x:c r="W20" s="33" t="str">
        <x:v>node/6055844917</x:v>
      </x:c>
      <x:c r="X20" s="33" t="str">
        <x:v>review_required</x:v>
      </x:c>
      <x:c r="Y20" s="33" t="str">
        <x:v>institut guineen de normalisation et de metrologie|conakry a verifier</x:v>
      </x:c>
      <x:c r="Z20" s="33" t="str"/>
      <x:c r="AA20" s="33" t="str"/>
    </x:row>
    <x:row r="21">
      <x:c r="A21" s="30" t="str">
        <x:v>À vérifier</x:v>
      </x:c>
      <x:c r="B21" s="30" t="str"/>
      <x:c r="C21" s="31"/>
      <x:c r="D21" s="30" t="str">
        <x:v>Non vérifié</x:v>
      </x:c>
      <x:c r="E21" s="30" t="str"/>
      <x:c r="F21" s="30" t="str"/>
      <x:c r="G21" s="32" t="str"/>
      <x:c r="H21" s="33" t="str">
        <x:f>IF(I21&lt;&gt;"","Doublon possible","")</x:f>
        <x:v>Doublon possible</x:v>
      </x:c>
      <x:c r="I21" s="33" t="str">
        <x:f>IF(COUNTIFS($Y$9:$Y$678,Y21)&gt;1,"Nom + ville",IF(AND(Z21&lt;&gt;"",COUNTIFS($Z$9:$Z$678,Z21)&gt;1),"Téléphone",IF(AND(AA21&lt;&gt;"",COUNTIFS($AA$9:$AA$678,AA21)&gt;1),"Site web","")))</x:f>
        <x:v>Site web</x:v>
      </x:c>
      <x:c r="J21" s="33" t="str">
        <x:v>La Poste Guinéenne</x:v>
      </x:c>
      <x:c r="K21" s="33" t="str">
        <x:v>Administration publique</x:v>
      </x:c>
      <x:c r="L21" s="33" t="str">
        <x:v>Emploi et services sociaux</x:v>
      </x:c>
      <x:c r="M21" s="33" t="str">
        <x:v>Conakry (à vérifier)</x:v>
      </x:c>
      <x:c r="N21" s="33" t="str"/>
      <x:c r="O21" s="33" t="str">
        <x:v>Avenue William Tubman</x:v>
      </x:c>
      <x:c r="P21" s="33" t="str">
        <x:v>00224628606025</x:v>
      </x:c>
      <x:c r="Q21" s="33" t="str">
        <x:v>infopostegn@gmail.com</x:v>
      </x:c>
      <x:c r="R21" s="33" t="str">
        <x:v>http://www.laposteguineenne.post</x:v>
      </x:c>
      <x:c r="S21" s="33" t="str"/>
      <x:c r="T21" s="35" t="n">
        <x:v>9.51126</x:v>
      </x:c>
      <x:c r="U21" s="35" t="n">
        <x:v>-13.7132325</x:v>
      </x:c>
      <x:c r="V21" s="33" t="str">
        <x:v>https://www.openstreetmap.org/node/4919143921</x:v>
      </x:c>
      <x:c r="W21" s="33" t="str">
        <x:v>node/4919143921</x:v>
      </x:c>
      <x:c r="X21" s="33" t="str">
        <x:v>review_required</x:v>
      </x:c>
      <x:c r="Y21" s="33" t="str">
        <x:v>la poste guineenne|conakry a verifier</x:v>
      </x:c>
      <x:c r="Z21" s="33" t="str">
        <x:v>224628606025</x:v>
      </x:c>
      <x:c r="AA21" s="33" t="str">
        <x:v>laposteguineenne.post</x:v>
      </x:c>
    </x:row>
    <x:row r="22">
      <x:c r="A22" s="30" t="str">
        <x:v>À vérifier</x:v>
      </x:c>
      <x:c r="B22" s="30" t="str"/>
      <x:c r="C22" s="31"/>
      <x:c r="D22" s="30" t="str">
        <x:v>Non vérifié</x:v>
      </x:c>
      <x:c r="E22" s="30" t="str"/>
      <x:c r="F22" s="30" t="str"/>
      <x:c r="G22" s="32" t="str"/>
      <x:c r="H22" s="33" t="str">
        <x:f>IF(I22&lt;&gt;"","Doublon possible","")</x:f>
      </x:c>
      <x:c r="I22" s="33" t="str">
        <x:f>IF(COUNTIFS($Y$9:$Y$678,Y22)&gt;1,"Nom + ville",IF(AND(Z22&lt;&gt;"",COUNTIFS($Z$9:$Z$678,Z22)&gt;1),"Téléphone",IF(AND(AA22&lt;&gt;"",COUNTIFS($AA$9:$AA$678,AA22)&gt;1),"Site web","")))</x:f>
      </x:c>
      <x:c r="J22" s="33" t="str">
        <x:v>Ministère Agriculture</x:v>
      </x:c>
      <x:c r="K22" s="33" t="str">
        <x:v>Administration publique</x:v>
      </x:c>
      <x:c r="L22" s="33" t="str">
        <x:v>Ministères</x:v>
      </x:c>
      <x:c r="M22" s="33" t="str">
        <x:v>Conakry (à vérifier)</x:v>
      </x:c>
      <x:c r="N22" s="33" t="str"/>
      <x:c r="O22" s="33" t="str"/>
      <x:c r="P22" s="33" t="str">
        <x:v>622626102</x:v>
      </x:c>
      <x:c r="Q22" s="33" t="str"/>
      <x:c r="R22" s="33" t="str"/>
      <x:c r="S22" s="33" t="str"/>
      <x:c r="T22" s="35" t="n">
        <x:v>9.5136322</x:v>
      </x:c>
      <x:c r="U22" s="35" t="n">
        <x:v>-13.7163435</x:v>
      </x:c>
      <x:c r="V22" s="33" t="str">
        <x:v>https://www.openstreetmap.org/node/6904063372</x:v>
      </x:c>
      <x:c r="W22" s="33" t="str">
        <x:v>node/6904063372</x:v>
      </x:c>
      <x:c r="X22" s="33" t="str">
        <x:v>review_required</x:v>
      </x:c>
      <x:c r="Y22" s="33" t="str">
        <x:v>ministere agriculture|conakry a verifier</x:v>
      </x:c>
      <x:c r="Z22" s="33" t="str">
        <x:v>224622626102</x:v>
      </x:c>
      <x:c r="AA22" s="33" t="str"/>
    </x:row>
    <x:row r="23">
      <x:c r="A23" s="30" t="str">
        <x:v>À vérifier</x:v>
      </x:c>
      <x:c r="B23" s="30" t="str"/>
      <x:c r="C23" s="31"/>
      <x:c r="D23" s="30" t="str">
        <x:v>Non vérifié</x:v>
      </x:c>
      <x:c r="E23" s="30" t="str"/>
      <x:c r="F23" s="30" t="str"/>
      <x:c r="G23" s="32" t="str"/>
      <x:c r="H23" s="33" t="str">
        <x:f>IF(I23&lt;&gt;"","Doublon possible","")</x:f>
      </x:c>
      <x:c r="I23" s="33" t="str">
        <x:f>IF(COUNTIFS($Y$9:$Y$678,Y23)&gt;1,"Nom + ville",IF(AND(Z23&lt;&gt;"",COUNTIFS($Z$9:$Z$678,Z23)&gt;1),"Téléphone",IF(AND(AA23&lt;&gt;"",COUNTIFS($AA$9:$AA$678,AA23)&gt;1),"Site web","")))</x:f>
      </x:c>
      <x:c r="J23" s="33" t="str">
        <x:v>Ministère de l'économie et des finances</x:v>
      </x:c>
      <x:c r="K23" s="33" t="str">
        <x:v>Administration publique</x:v>
      </x:c>
      <x:c r="L23" s="33" t="str">
        <x:v>Ministères</x:v>
      </x:c>
      <x:c r="M23" s="33" t="str">
        <x:v>Conakry (à vérifier)</x:v>
      </x:c>
      <x:c r="N23" s="33" t="str"/>
      <x:c r="O23" s="33" t="str"/>
      <x:c r="P23" s="33" t="str"/>
      <x:c r="Q23" s="33" t="str"/>
      <x:c r="R23" s="33" t="str">
        <x:v>https://www.mef.gov.gn/</x:v>
      </x:c>
      <x:c r="S23" s="33" t="str"/>
      <x:c r="T23" s="35" t="n">
        <x:v>9.5079278</x:v>
      </x:c>
      <x:c r="U23" s="35" t="n">
        <x:v>-13.7148962</x:v>
      </x:c>
      <x:c r="V23" s="33" t="str">
        <x:v>https://www.openstreetmap.org/way/549630563</x:v>
      </x:c>
      <x:c r="W23" s="33" t="str">
        <x:v>way/549630563</x:v>
      </x:c>
      <x:c r="X23" s="33" t="str">
        <x:v>review_required</x:v>
      </x:c>
      <x:c r="Y23" s="33" t="str">
        <x:v>ministere de l economie et des finances|conakry a verifier</x:v>
      </x:c>
      <x:c r="Z23" s="33" t="str"/>
      <x:c r="AA23" s="33" t="str">
        <x:v>mef.gov.gn</x:v>
      </x:c>
    </x:row>
    <x:row r="24">
      <x:c r="A24" s="30" t="str">
        <x:v>À vérifier</x:v>
      </x:c>
      <x:c r="B24" s="30" t="str"/>
      <x:c r="C24" s="31"/>
      <x:c r="D24" s="30" t="str">
        <x:v>Non vérifié</x:v>
      </x:c>
      <x:c r="E24" s="30" t="str"/>
      <x:c r="F24" s="30" t="str"/>
      <x:c r="G24" s="32" t="str"/>
      <x:c r="H24" s="33" t="str">
        <x:f>IF(I24&lt;&gt;"","Doublon possible","")</x:f>
      </x:c>
      <x:c r="I24" s="33" t="str">
        <x:f>IF(COUNTIFS($Y$9:$Y$678,Y24)&gt;1,"Nom + ville",IF(AND(Z24&lt;&gt;"",COUNTIFS($Z$9:$Z$678,Z24)&gt;1),"Téléphone",IF(AND(AA24&lt;&gt;"",COUNTIFS($AA$9:$AA$678,AA24)&gt;1),"Site web","")))</x:f>
      </x:c>
      <x:c r="J24" s="33" t="str">
        <x:v>Ministère de l'éducation nationale et de l'alphabétisation</x:v>
      </x:c>
      <x:c r="K24" s="33" t="str">
        <x:v>Administration publique</x:v>
      </x:c>
      <x:c r="L24" s="33" t="str">
        <x:v>Ministères</x:v>
      </x:c>
      <x:c r="M24" s="33" t="str">
        <x:v>Conakry (à vérifier)</x:v>
      </x:c>
      <x:c r="N24" s="33" t="str"/>
      <x:c r="O24" s="33" t="str"/>
      <x:c r="P24" s="33" t="str"/>
      <x:c r="Q24" s="33" t="str"/>
      <x:c r="R24" s="33" t="str">
        <x:v>www.mena.gov.gn</x:v>
      </x:c>
      <x:c r="S24" s="33" t="str"/>
      <x:c r="T24" s="35" t="n">
        <x:v>9.5113671</x:v>
      </x:c>
      <x:c r="U24" s="35" t="n">
        <x:v>-13.716029</x:v>
      </x:c>
      <x:c r="V24" s="33" t="str">
        <x:v>https://www.openstreetmap.org/way/549246654</x:v>
      </x:c>
      <x:c r="W24" s="33" t="str">
        <x:v>way/549246654</x:v>
      </x:c>
      <x:c r="X24" s="33" t="str">
        <x:v>review_required</x:v>
      </x:c>
      <x:c r="Y24" s="33" t="str">
        <x:v>ministere de l education nationale et de l alphabetisation|conakry a verifier</x:v>
      </x:c>
      <x:c r="Z24" s="33" t="str"/>
      <x:c r="AA24" s="33" t="str">
        <x:v>mena.gov.gn</x:v>
      </x:c>
    </x:row>
    <x:row r="25">
      <x:c r="A25" s="30" t="str">
        <x:v>À vérifier</x:v>
      </x:c>
      <x:c r="B25" s="30" t="str"/>
      <x:c r="C25" s="31"/>
      <x:c r="D25" s="30" t="str">
        <x:v>Non vérifié</x:v>
      </x:c>
      <x:c r="E25" s="30" t="str"/>
      <x:c r="F25" s="30" t="str"/>
      <x:c r="G25" s="32" t="str"/>
      <x:c r="H25" s="33" t="str">
        <x:f>IF(I25&lt;&gt;"","Doublon possible","")</x:f>
      </x:c>
      <x:c r="I25" s="33" t="str">
        <x:f>IF(COUNTIFS($Y$9:$Y$678,Y25)&gt;1,"Nom + ville",IF(AND(Z25&lt;&gt;"",COUNTIFS($Z$9:$Z$678,Z25)&gt;1),"Téléphone",IF(AND(AA25&lt;&gt;"",COUNTIFS($AA$9:$AA$678,AA25)&gt;1),"Site web","")))</x:f>
      </x:c>
      <x:c r="J25" s="33" t="str">
        <x:v>Ministère de la justice, Chancellerie</x:v>
      </x:c>
      <x:c r="K25" s="33" t="str">
        <x:v>Administration publique</x:v>
      </x:c>
      <x:c r="L25" s="33" t="str">
        <x:v>Ministères</x:v>
      </x:c>
      <x:c r="M25" s="33" t="str">
        <x:v>Conakry (à vérifier)</x:v>
      </x:c>
      <x:c r="N25" s="33" t="str"/>
      <x:c r="O25" s="33" t="str"/>
      <x:c r="P25" s="33" t="str"/>
      <x:c r="Q25" s="33" t="str">
        <x:v>justiceguinee@yahoo.fr</x:v>
      </x:c>
      <x:c r="R25" s="33" t="str">
        <x:v>www.justice.gov.gn</x:v>
      </x:c>
      <x:c r="S25" s="33" t="str"/>
      <x:c r="T25" s="35" t="n">
        <x:v>9.5128631</x:v>
      </x:c>
      <x:c r="U25" s="35" t="n">
        <x:v>-13.7153825</x:v>
      </x:c>
      <x:c r="V25" s="33" t="str">
        <x:v>https://www.openstreetmap.org/node/5739440970</x:v>
      </x:c>
      <x:c r="W25" s="33" t="str">
        <x:v>node/5739440970</x:v>
      </x:c>
      <x:c r="X25" s="33" t="str">
        <x:v>review_required</x:v>
      </x:c>
      <x:c r="Y25" s="33" t="str">
        <x:v>ministere de la justice chancellerie|conakry a verifier</x:v>
      </x:c>
      <x:c r="Z25" s="33" t="str"/>
      <x:c r="AA25" s="33" t="str">
        <x:v>justice.gov.gn</x:v>
      </x:c>
    </x:row>
    <x:row r="26">
      <x:c r="A26" s="30" t="str">
        <x:v>À vérifier</x:v>
      </x:c>
      <x:c r="B26" s="30" t="str"/>
      <x:c r="C26" s="31"/>
      <x:c r="D26" s="30" t="str">
        <x:v>Non vérifié</x:v>
      </x:c>
      <x:c r="E26" s="30" t="str"/>
      <x:c r="F26" s="30" t="str"/>
      <x:c r="G26" s="32" t="str"/>
      <x:c r="H26" s="33" t="str">
        <x:f>IF(I26&lt;&gt;"","Doublon possible","")</x:f>
      </x:c>
      <x:c r="I26" s="33" t="str">
        <x:f>IF(COUNTIFS($Y$9:$Y$678,Y26)&gt;1,"Nom + ville",IF(AND(Z26&lt;&gt;"",COUNTIFS($Z$9:$Z$678,Z26)&gt;1),"Téléphone",IF(AND(AA26&lt;&gt;"",COUNTIFS($AA$9:$AA$678,AA26)&gt;1),"Site web","")))</x:f>
      </x:c>
      <x:c r="J26" s="33" t="str">
        <x:v>Ministère l’urbanisme de l’habitat et de l'aménagement du territoire</x:v>
      </x:c>
      <x:c r="K26" s="33" t="str">
        <x:v>Administration publique</x:v>
      </x:c>
      <x:c r="L26" s="33" t="str">
        <x:v>Ministères</x:v>
      </x:c>
      <x:c r="M26" s="33" t="str">
        <x:v>Conakry (à vérifier)</x:v>
      </x:c>
      <x:c r="N26" s="33" t="str"/>
      <x:c r="O26" s="33" t="str"/>
      <x:c r="P26" s="33" t="str"/>
      <x:c r="Q26" s="33" t="str"/>
      <x:c r="R26" s="33" t="str">
        <x:v>www.ministerehabitat.gov.gn</x:v>
      </x:c>
      <x:c r="S26" s="33" t="str"/>
      <x:c r="T26" s="35" t="n">
        <x:v>9.5105481</x:v>
      </x:c>
      <x:c r="U26" s="35" t="n">
        <x:v>-13.7145937</x:v>
      </x:c>
      <x:c r="V26" s="33" t="str">
        <x:v>https://www.openstreetmap.org/node/5739440969</x:v>
      </x:c>
      <x:c r="W26" s="33" t="str">
        <x:v>node/5739440969</x:v>
      </x:c>
      <x:c r="X26" s="33" t="str">
        <x:v>review_required</x:v>
      </x:c>
      <x:c r="Y26" s="33" t="str">
        <x:v>ministere l urbanisme de l habitat et de l amenagement du territoire|conakry a verifier</x:v>
      </x:c>
      <x:c r="Z26" s="33" t="str"/>
      <x:c r="AA26" s="33" t="str">
        <x:v>ministerehabitat.gov.gn</x:v>
      </x:c>
    </x:row>
    <x:row r="27">
      <x:c r="A27" s="30" t="str">
        <x:v>À vérifier</x:v>
      </x:c>
      <x:c r="B27" s="30" t="str"/>
      <x:c r="C27" s="31"/>
      <x:c r="D27" s="30" t="str">
        <x:v>Non vérifié</x:v>
      </x:c>
      <x:c r="E27" s="30" t="str"/>
      <x:c r="F27" s="30" t="str"/>
      <x:c r="G27" s="32" t="str"/>
      <x:c r="H27" s="33" t="str">
        <x:f>IF(I27&lt;&gt;"","Doublon possible","")</x:f>
        <x:v>Doublon possible</x:v>
      </x:c>
      <x:c r="I27" s="33" t="str">
        <x:f>IF(COUNTIFS($Y$9:$Y$678,Y27)&gt;1,"Nom + ville",IF(AND(Z27&lt;&gt;"",COUNTIFS($Z$9:$Z$678,Z27)&gt;1),"Téléphone",IF(AND(AA27&lt;&gt;"",COUNTIFS($AA$9:$AA$678,AA27)&gt;1),"Site web","")))</x:f>
        <x:v>Site web</x:v>
      </x:c>
      <x:c r="J27" s="33" t="str">
        <x:v>Poste Aéroport</x:v>
      </x:c>
      <x:c r="K27" s="33" t="str">
        <x:v>Administration publique</x:v>
      </x:c>
      <x:c r="L27" s="33" t="str">
        <x:v>Emploi et services sociaux</x:v>
      </x:c>
      <x:c r="M27" s="33" t="str">
        <x:v>Conakry (à vérifier)</x:v>
      </x:c>
      <x:c r="N27" s="33" t="str"/>
      <x:c r="O27" s="33" t="str"/>
      <x:c r="P27" s="33" t="str">
        <x:v>00224621434712</x:v>
      </x:c>
      <x:c r="Q27" s="33" t="str">
        <x:v>infopostegn@gmail.com</x:v>
      </x:c>
      <x:c r="R27" s="33" t="str">
        <x:v>http://www.laposteguineenne.post</x:v>
      </x:c>
      <x:c r="S27" s="33" t="str"/>
      <x:c r="T27" s="35" t="n">
        <x:v>9.5729781</x:v>
      </x:c>
      <x:c r="U27" s="35" t="n">
        <x:v>-13.6194657</x:v>
      </x:c>
      <x:c r="V27" s="33" t="str">
        <x:v>https://www.openstreetmap.org/node/5873564685</x:v>
      </x:c>
      <x:c r="W27" s="33" t="str">
        <x:v>node/5873564685</x:v>
      </x:c>
      <x:c r="X27" s="33" t="str">
        <x:v>review_required</x:v>
      </x:c>
      <x:c r="Y27" s="33" t="str">
        <x:v>poste aeroport|conakry a verifier</x:v>
      </x:c>
      <x:c r="Z27" s="33" t="str">
        <x:v>224621434712</x:v>
      </x:c>
      <x:c r="AA27" s="33" t="str">
        <x:v>laposteguineenne.post</x:v>
      </x:c>
    </x:row>
    <x:row r="28">
      <x:c r="A28" s="30" t="str">
        <x:v>À vérifier</x:v>
      </x:c>
      <x:c r="B28" s="30" t="str"/>
      <x:c r="C28" s="31"/>
      <x:c r="D28" s="30" t="str">
        <x:v>Non vérifié</x:v>
      </x:c>
      <x:c r="E28" s="30" t="str"/>
      <x:c r="F28" s="30" t="str"/>
      <x:c r="G28" s="32" t="str"/>
      <x:c r="H28" s="33" t="str">
        <x:f>IF(I28&lt;&gt;"","Doublon possible","")</x:f>
        <x:v>Doublon possible</x:v>
      </x:c>
      <x:c r="I28" s="33" t="str">
        <x:f>IF(COUNTIFS($Y$9:$Y$678,Y28)&gt;1,"Nom + ville",IF(AND(Z28&lt;&gt;"",COUNTIFS($Z$9:$Z$678,Z28)&gt;1),"Téléphone",IF(AND(AA28&lt;&gt;"",COUNTIFS($AA$9:$AA$678,AA28)&gt;1),"Site web","")))</x:f>
        <x:v>Site web</x:v>
      </x:c>
      <x:c r="J28" s="33" t="str">
        <x:v>Poste Kipé Plazza</x:v>
      </x:c>
      <x:c r="K28" s="33" t="str">
        <x:v>Administration publique</x:v>
      </x:c>
      <x:c r="L28" s="33" t="str">
        <x:v>Emploi et services sociaux</x:v>
      </x:c>
      <x:c r="M28" s="33" t="str">
        <x:v>Conakry (à vérifier)</x:v>
      </x:c>
      <x:c r="N28" s="33" t="str"/>
      <x:c r="O28" s="33" t="str"/>
      <x:c r="P28" s="33" t="str">
        <x:v>00224628554923</x:v>
      </x:c>
      <x:c r="Q28" s="33" t="str">
        <x:v>infopostegn@gmail.com</x:v>
      </x:c>
      <x:c r="R28" s="33" t="str">
        <x:v>http://www.laposteguineenne.post</x:v>
      </x:c>
      <x:c r="S28" s="33" t="str"/>
      <x:c r="T28" s="35" t="n">
        <x:v>9.6061063</x:v>
      </x:c>
      <x:c r="U28" s="35" t="n">
        <x:v>-13.6506857</x:v>
      </x:c>
      <x:c r="V28" s="33" t="str">
        <x:v>https://www.openstreetmap.org/node/5873564686</x:v>
      </x:c>
      <x:c r="W28" s="33" t="str">
        <x:v>node/5873564686</x:v>
      </x:c>
      <x:c r="X28" s="33" t="str">
        <x:v>review_required</x:v>
      </x:c>
      <x:c r="Y28" s="33" t="str">
        <x:v>poste kipe plazza|conakry a verifier</x:v>
      </x:c>
      <x:c r="Z28" s="33" t="str">
        <x:v>224628554923</x:v>
      </x:c>
      <x:c r="AA28" s="33" t="str">
        <x:v>laposteguineenne.post</x:v>
      </x:c>
    </x:row>
    <x:row r="29">
      <x:c r="A29" s="30" t="str">
        <x:v>À vérifier</x:v>
      </x:c>
      <x:c r="B29" s="30" t="str"/>
      <x:c r="C29" s="31"/>
      <x:c r="D29" s="30" t="str">
        <x:v>Non vérifié</x:v>
      </x:c>
      <x:c r="E29" s="30" t="str"/>
      <x:c r="F29" s="30" t="str"/>
      <x:c r="G29" s="32" t="str"/>
      <x:c r="H29" s="33" t="str">
        <x:f>IF(I29&lt;&gt;"","Doublon possible","")</x:f>
      </x:c>
      <x:c r="I29" s="33" t="str">
        <x:f>IF(COUNTIFS($Y$9:$Y$678,Y29)&gt;1,"Nom + ville",IF(AND(Z29&lt;&gt;"",COUNTIFS($Z$9:$Z$678,Z29)&gt;1),"Téléphone",IF(AND(AA29&lt;&gt;"",COUNTIFS($AA$9:$AA$678,AA29)&gt;1),"Site web","")))</x:f>
      </x:c>
      <x:c r="J29" s="33" t="str">
        <x:v>Projet diffusion du riz nerica/guinee</x:v>
      </x:c>
      <x:c r="K29" s="33" t="str">
        <x:v>Administration publique</x:v>
      </x:c>
      <x:c r="L29" s="33" t="str">
        <x:v>Ministères</x:v>
      </x:c>
      <x:c r="M29" s="33" t="str">
        <x:v>Conakry (à vérifier)</x:v>
      </x:c>
      <x:c r="N29" s="33" t="str"/>
      <x:c r="O29" s="33" t="str">
        <x:v>ka837</x:v>
      </x:c>
      <x:c r="P29" s="33" t="str"/>
      <x:c r="Q29" s="33" t="str"/>
      <x:c r="R29" s="33" t="str"/>
      <x:c r="S29" s="33" t="str"/>
      <x:c r="T29" s="35" t="n">
        <x:v>9.5126252</x:v>
      </x:c>
      <x:c r="U29" s="35" t="n">
        <x:v>-13.7169466</x:v>
      </x:c>
      <x:c r="V29" s="33" t="str">
        <x:v>https://www.openstreetmap.org/node/6055844271</x:v>
      </x:c>
      <x:c r="W29" s="33" t="str">
        <x:v>node/6055844271</x:v>
      </x:c>
      <x:c r="X29" s="33" t="str">
        <x:v>review_required</x:v>
      </x:c>
      <x:c r="Y29" s="33" t="str">
        <x:v>projet diffusion du riz nerica guinee|conakry a verifier</x:v>
      </x:c>
      <x:c r="Z29" s="33" t="str"/>
      <x:c r="AA29" s="33" t="str"/>
    </x:row>
    <x:row r="30">
      <x:c r="A30" s="30" t="str">
        <x:v>À vérifier</x:v>
      </x:c>
      <x:c r="B30" s="30" t="str"/>
      <x:c r="C30" s="31"/>
      <x:c r="D30" s="30" t="str">
        <x:v>Non vérifié</x:v>
      </x:c>
      <x:c r="E30" s="30" t="str"/>
      <x:c r="F30" s="30" t="str"/>
      <x:c r="G30" s="32" t="str"/>
      <x:c r="H30" s="33" t="str">
        <x:f>IF(I30&lt;&gt;"","Doublon possible","")</x:f>
        <x:v>Doublon possible</x:v>
      </x:c>
      <x:c r="I30" s="33" t="str">
        <x:f>IF(COUNTIFS($Y$9:$Y$678,Y30)&gt;1,"Nom + ville",IF(AND(Z30&lt;&gt;"",COUNTIFS($Z$9:$Z$678,Z30)&gt;1),"Téléphone",IF(AND(AA30&lt;&gt;"",COUNTIFS($AA$9:$AA$678,AA30)&gt;1),"Site web","")))</x:f>
        <x:v>Téléphone</x:v>
      </x:c>
      <x:c r="J30" s="33" t="str">
        <x:v>ABLOGUI</x:v>
      </x:c>
      <x:c r="K30" s="33" t="str">
        <x:v>Associations</x:v>
      </x:c>
      <x:c r="L30" s="33" t="str">
        <x:v>ONG</x:v>
      </x:c>
      <x:c r="M30" s="33" t="str">
        <x:v>Conakry (à vérifier)</x:v>
      </x:c>
      <x:c r="N30" s="33" t="str"/>
      <x:c r="O30" s="33" t="str">
        <x:v>Bvd.belle-vue DI.814</x:v>
      </x:c>
      <x:c r="P30" s="33" t="str">
        <x:v>+224626397709</x:v>
      </x:c>
      <x:c r="Q30" s="33" t="str"/>
      <x:c r="R30" s="33" t="str">
        <x:v>https://ablogui.org/</x:v>
      </x:c>
      <x:c r="S30" s="33" t="str"/>
      <x:c r="T30" s="35" t="n">
        <x:v>9.5728883</x:v>
      </x:c>
      <x:c r="U30" s="35" t="n">
        <x:v>-13.6596076</x:v>
      </x:c>
      <x:c r="V30" s="33" t="str">
        <x:v>https://www.openstreetmap.org/node/6570385300</x:v>
      </x:c>
      <x:c r="W30" s="33" t="str">
        <x:v>node/6570385300</x:v>
      </x:c>
      <x:c r="X30" s="33" t="str">
        <x:v>review_required</x:v>
      </x:c>
      <x:c r="Y30" s="33" t="str">
        <x:v>ablogui|conakry a verifier</x:v>
      </x:c>
      <x:c r="Z30" s="33" t="str">
        <x:v>224626397709</x:v>
      </x:c>
      <x:c r="AA30" s="33" t="str">
        <x:v>ablogui.org</x:v>
      </x:c>
    </x:row>
    <x:row r="31">
      <x:c r="A31" s="30" t="str">
        <x:v>À vérifier</x:v>
      </x:c>
      <x:c r="B31" s="30" t="str"/>
      <x:c r="C31" s="31"/>
      <x:c r="D31" s="30" t="str">
        <x:v>Non vérifié</x:v>
      </x:c>
      <x:c r="E31" s="30" t="str"/>
      <x:c r="F31" s="30" t="str"/>
      <x:c r="G31" s="32" t="str"/>
      <x:c r="H31" s="33" t="str">
        <x:f>IF(I31&lt;&gt;"","Doublon possible","")</x:f>
      </x:c>
      <x:c r="I31" s="33" t="str">
        <x:f>IF(COUNTIFS($Y$9:$Y$678,Y31)&gt;1,"Nom + ville",IF(AND(Z31&lt;&gt;"",COUNTIFS($Z$9:$Z$678,Z31)&gt;1),"Téléphone",IF(AND(AA31&lt;&gt;"",COUNTIFS($AA$9:$AA$678,AA31)&gt;1),"Site web","")))</x:f>
      </x:c>
      <x:c r="J31" s="33" t="str">
        <x:v>AGBEF/IPPF</x:v>
      </x:c>
      <x:c r="K31" s="33" t="str">
        <x:v>Associations</x:v>
      </x:c>
      <x:c r="L31" s="33" t="str">
        <x:v>ONG</x:v>
      </x:c>
      <x:c r="M31" s="33" t="str">
        <x:v>Conakry (à vérifier)</x:v>
      </x:c>
      <x:c r="N31" s="33" t="str"/>
      <x:c r="O31" s="33" t="str"/>
      <x:c r="P31" s="33" t="str">
        <x:v>657101285</x:v>
      </x:c>
      <x:c r="Q31" s="33" t="str"/>
      <x:c r="R31" s="33" t="str"/>
      <x:c r="S31" s="33" t="str"/>
      <x:c r="T31" s="35" t="n">
        <x:v>9.5484005</x:v>
      </x:c>
      <x:c r="U31" s="35" t="n">
        <x:v>-13.6715732</x:v>
      </x:c>
      <x:c r="V31" s="33" t="str">
        <x:v>https://www.openstreetmap.org/node/6238090392</x:v>
      </x:c>
      <x:c r="W31" s="33" t="str">
        <x:v>node/6238090392</x:v>
      </x:c>
      <x:c r="X31" s="33" t="str">
        <x:v>review_required</x:v>
      </x:c>
      <x:c r="Y31" s="33" t="str">
        <x:v>agbef ippf|conakry a verifier</x:v>
      </x:c>
      <x:c r="Z31" s="33" t="str">
        <x:v>224657101285</x:v>
      </x:c>
      <x:c r="AA31" s="33" t="str"/>
    </x:row>
    <x:row r="32">
      <x:c r="A32" s="30" t="str">
        <x:v>À vérifier</x:v>
      </x:c>
      <x:c r="B32" s="30" t="str"/>
      <x:c r="C32" s="31"/>
      <x:c r="D32" s="30" t="str">
        <x:v>Non vérifié</x:v>
      </x:c>
      <x:c r="E32" s="30" t="str"/>
      <x:c r="F32" s="30" t="str"/>
      <x:c r="G32" s="32" t="str"/>
      <x:c r="H32" s="33" t="str">
        <x:f>IF(I32&lt;&gt;"","Doublon possible","")</x:f>
      </x:c>
      <x:c r="I32" s="33" t="str">
        <x:f>IF(COUNTIFS($Y$9:$Y$678,Y32)&gt;1,"Nom + ville",IF(AND(Z32&lt;&gt;"",COUNTIFS($Z$9:$Z$678,Z32)&gt;1),"Téléphone",IF(AND(AA32&lt;&gt;"",COUNTIFS($AA$9:$AA$678,AA32)&gt;1),"Site web","")))</x:f>
      </x:c>
      <x:c r="J32" s="33" t="str">
        <x:v>AGIL Internationale</x:v>
      </x:c>
      <x:c r="K32" s="33" t="str">
        <x:v>Associations</x:v>
      </x:c>
      <x:c r="L32" s="33" t="str">
        <x:v>ONG</x:v>
      </x:c>
      <x:c r="M32" s="33" t="str">
        <x:v>Conakry (à vérifier)</x:v>
      </x:c>
      <x:c r="N32" s="33" t="str"/>
      <x:c r="O32" s="33" t="str"/>
      <x:c r="P32" s="33" t="str">
        <x:v>626949400</x:v>
      </x:c>
      <x:c r="Q32" s="33" t="str">
        <x:v>info@agilinternationale.org</x:v>
      </x:c>
      <x:c r="R32" s="33" t="str">
        <x:v>https://agilinternationale.org/</x:v>
      </x:c>
      <x:c r="S32" s="33" t="str"/>
      <x:c r="T32" s="35" t="n">
        <x:v>9.583272</x:v>
      </x:c>
      <x:c r="U32" s="35" t="n">
        <x:v>-13.6619798</x:v>
      </x:c>
      <x:c r="V32" s="33" t="str">
        <x:v>https://www.openstreetmap.org/node/6433306594</x:v>
      </x:c>
      <x:c r="W32" s="33" t="str">
        <x:v>node/6433306594</x:v>
      </x:c>
      <x:c r="X32" s="33" t="str">
        <x:v>review_required</x:v>
      </x:c>
      <x:c r="Y32" s="33" t="str">
        <x:v>agil internationale|conakry a verifier</x:v>
      </x:c>
      <x:c r="Z32" s="33" t="str">
        <x:v>224626949400</x:v>
      </x:c>
      <x:c r="AA32" s="33" t="str">
        <x:v>agilinternationale.org</x:v>
      </x:c>
    </x:row>
    <x:row r="33">
      <x:c r="A33" s="30" t="str">
        <x:v>À vérifier</x:v>
      </x:c>
      <x:c r="B33" s="30" t="str"/>
      <x:c r="C33" s="31"/>
      <x:c r="D33" s="30" t="str">
        <x:v>Non vérifié</x:v>
      </x:c>
      <x:c r="E33" s="30" t="str"/>
      <x:c r="F33" s="30" t="str"/>
      <x:c r="G33" s="32" t="str"/>
      <x:c r="H33" s="33" t="str">
        <x:f>IF(I33&lt;&gt;"","Doublon possible","")</x:f>
      </x:c>
      <x:c r="I33" s="33" t="str">
        <x:f>IF(COUNTIFS($Y$9:$Y$678,Y33)&gt;1,"Nom + ville",IF(AND(Z33&lt;&gt;"",COUNTIFS($Z$9:$Z$678,Z33)&gt;1),"Téléphone",IF(AND(AA33&lt;&gt;"",COUNTIFS($AA$9:$AA$678,AA33)&gt;1),"Site web","")))</x:f>
      </x:c>
      <x:c r="J33" s="33" t="str">
        <x:v>Alliance Missionaire Évangélique</x:v>
      </x:c>
      <x:c r="K33" s="33" t="str">
        <x:v>Associations</x:v>
      </x:c>
      <x:c r="L33" s="33" t="str">
        <x:v>ONG</x:v>
      </x:c>
      <x:c r="M33" s="33" t="str">
        <x:v>Conakry (à vérifier)</x:v>
      </x:c>
      <x:c r="N33" s="33" t="str"/>
      <x:c r="O33" s="33" t="str"/>
      <x:c r="P33" s="33" t="str"/>
      <x:c r="Q33" s="33" t="str"/>
      <x:c r="R33" s="33" t="str">
        <x:v>http://www.sam-ame.org</x:v>
      </x:c>
      <x:c r="S33" s="33" t="str"/>
      <x:c r="T33" s="35" t="n">
        <x:v>9.5906922</x:v>
      </x:c>
      <x:c r="U33" s="35" t="n">
        <x:v>-13.6494906</x:v>
      </x:c>
      <x:c r="V33" s="33" t="str">
        <x:v>https://www.openstreetmap.org/node/2408584381</x:v>
      </x:c>
      <x:c r="W33" s="33" t="str">
        <x:v>node/2408584381</x:v>
      </x:c>
      <x:c r="X33" s="33" t="str">
        <x:v>review_required</x:v>
      </x:c>
      <x:c r="Y33" s="33" t="str">
        <x:v>alliance missionaire evangelique|conakry a verifier</x:v>
      </x:c>
      <x:c r="Z33" s="33" t="str"/>
      <x:c r="AA33" s="33" t="str">
        <x:v>sam-ame.org</x:v>
      </x:c>
    </x:row>
    <x:row r="34">
      <x:c r="A34" s="30" t="str">
        <x:v>À vérifier</x:v>
      </x:c>
      <x:c r="B34" s="30" t="str"/>
      <x:c r="C34" s="31"/>
      <x:c r="D34" s="30" t="str">
        <x:v>Non vérifié</x:v>
      </x:c>
      <x:c r="E34" s="30" t="str"/>
      <x:c r="F34" s="30" t="str"/>
      <x:c r="G34" s="32" t="str"/>
      <x:c r="H34" s="33" t="str">
        <x:f>IF(I34&lt;&gt;"","Doublon possible","")</x:f>
      </x:c>
      <x:c r="I34" s="33" t="str">
        <x:f>IF(COUNTIFS($Y$9:$Y$678,Y34)&gt;1,"Nom + ville",IF(AND(Z34&lt;&gt;"",COUNTIFS($Z$9:$Z$678,Z34)&gt;1),"Téléphone",IF(AND(AA34&lt;&gt;"",COUNTIFS($AA$9:$AA$678,AA34)&gt;1),"Site web","")))</x:f>
      </x:c>
      <x:c r="J34" s="33" t="str">
        <x:v>Bureau Représentation Pays GRET</x:v>
      </x:c>
      <x:c r="K34" s="33" t="str">
        <x:v>Associations</x:v>
      </x:c>
      <x:c r="L34" s="33" t="str">
        <x:v>ONG</x:v>
      </x:c>
      <x:c r="M34" s="33" t="str">
        <x:v>Conakry (à vérifier)</x:v>
      </x:c>
      <x:c r="N34" s="33" t="str"/>
      <x:c r="O34" s="33" t="str">
        <x:v>Carrefour ambiance</x:v>
      </x:c>
      <x:c r="P34" s="33" t="str"/>
      <x:c r="Q34" s="33" t="str"/>
      <x:c r="R34" s="33" t="str"/>
      <x:c r="S34" s="33" t="str"/>
      <x:c r="T34" s="35" t="n">
        <x:v>9.6329238</x:v>
      </x:c>
      <x:c r="U34" s="35" t="n">
        <x:v>-13.625195</x:v>
      </x:c>
      <x:c r="V34" s="33" t="str">
        <x:v>https://www.openstreetmap.org/node/12973562031</x:v>
      </x:c>
      <x:c r="W34" s="33" t="str">
        <x:v>node/12973562031</x:v>
      </x:c>
      <x:c r="X34" s="33" t="str">
        <x:v>review_required</x:v>
      </x:c>
      <x:c r="Y34" s="33" t="str">
        <x:v>bureau representation pays gret|conakry a verifier</x:v>
      </x:c>
      <x:c r="Z34" s="33" t="str"/>
      <x:c r="AA34" s="33" t="str"/>
    </x:row>
    <x:row r="35">
      <x:c r="A35" s="30" t="str">
        <x:v>À vérifier</x:v>
      </x:c>
      <x:c r="B35" s="30" t="str"/>
      <x:c r="C35" s="31"/>
      <x:c r="D35" s="30" t="str">
        <x:v>Non vérifié</x:v>
      </x:c>
      <x:c r="E35" s="30" t="str"/>
      <x:c r="F35" s="30" t="str"/>
      <x:c r="G35" s="32" t="str"/>
      <x:c r="H35" s="33" t="str">
        <x:f>IF(I35&lt;&gt;"","Doublon possible","")</x:f>
      </x:c>
      <x:c r="I35" s="33" t="str">
        <x:f>IF(COUNTIFS($Y$9:$Y$678,Y35)&gt;1,"Nom + ville",IF(AND(Z35&lt;&gt;"",COUNTIFS($Z$9:$Z$678,Z35)&gt;1),"Téléphone",IF(AND(AA35&lt;&gt;"",COUNTIFS($AA$9:$AA$678,AA35)&gt;1),"Site web","")))</x:f>
      </x:c>
      <x:c r="J35" s="33" t="str">
        <x:v>Campus Numérique Francophone</x:v>
      </x:c>
      <x:c r="K35" s="33" t="str">
        <x:v>Associations</x:v>
      </x:c>
      <x:c r="L35" s="33" t="str">
        <x:v>ONG</x:v>
      </x:c>
      <x:c r="M35" s="33" t="str">
        <x:v>Conakry (à vérifier)</x:v>
      </x:c>
      <x:c r="N35" s="33" t="str"/>
      <x:c r="O35" s="33" t="str">
        <x:v>Université Gamal Abdel Nasser de Conakry, 3ème étage salle 330, Rue DI 254, Route de Donka, Conakry, Guinée</x:v>
      </x:c>
      <x:c r="P35" s="33" t="str">
        <x:v>+224 622395594</x:v>
      </x:c>
      <x:c r="Q35" s="33" t="str"/>
      <x:c r="R35" s="33" t="str"/>
      <x:c r="S35" s="33" t="str"/>
      <x:c r="T35" s="35" t="n">
        <x:v>9.5424344</x:v>
      </x:c>
      <x:c r="U35" s="35" t="n">
        <x:v>-13.6762552</x:v>
      </x:c>
      <x:c r="V35" s="33" t="str">
        <x:v>https://www.openstreetmap.org/node/5993978787</x:v>
      </x:c>
      <x:c r="W35" s="33" t="str">
        <x:v>node/5993978787</x:v>
      </x:c>
      <x:c r="X35" s="33" t="str">
        <x:v>review_required</x:v>
      </x:c>
      <x:c r="Y35" s="33" t="str">
        <x:v>campus numerique francophone|conakry a verifier</x:v>
      </x:c>
      <x:c r="Z35" s="33" t="str">
        <x:v>224622395594</x:v>
      </x:c>
      <x:c r="AA35" s="33" t="str"/>
    </x:row>
    <x:row r="36">
      <x:c r="A36" s="30" t="str">
        <x:v>À vérifier</x:v>
      </x:c>
      <x:c r="B36" s="30" t="str"/>
      <x:c r="C36" s="31"/>
      <x:c r="D36" s="30" t="str">
        <x:v>Non vérifié</x:v>
      </x:c>
      <x:c r="E36" s="30" t="str"/>
      <x:c r="F36" s="30" t="str"/>
      <x:c r="G36" s="32" t="str"/>
      <x:c r="H36" s="33" t="str">
        <x:f>IF(I36&lt;&gt;"","Doublon possible","")</x:f>
      </x:c>
      <x:c r="I36" s="33" t="str">
        <x:f>IF(COUNTIFS($Y$9:$Y$678,Y36)&gt;1,"Nom + ville",IF(AND(Z36&lt;&gt;"",COUNTIFS($Z$9:$Z$678,Z36)&gt;1),"Téléphone",IF(AND(AA36&lt;&gt;"",COUNTIFS($AA$9:$AA$678,AA36)&gt;1),"Site web","")))</x:f>
      </x:c>
      <x:c r="J36" s="33" t="str">
        <x:v>Cellule Balai Citoyens</x:v>
      </x:c>
      <x:c r="K36" s="33" t="str">
        <x:v>Associations</x:v>
      </x:c>
      <x:c r="L36" s="33" t="str">
        <x:v>ONG</x:v>
      </x:c>
      <x:c r="M36" s="33" t="str">
        <x:v>Conakry (à vérifier)</x:v>
      </x:c>
      <x:c r="N36" s="33" t="str"/>
      <x:c r="O36" s="33" t="str"/>
      <x:c r="P36" s="33" t="str">
        <x:v>+224625724021</x:v>
      </x:c>
      <x:c r="Q36" s="33" t="str">
        <x:v>contact@cbc-guinee.org</x:v>
      </x:c>
      <x:c r="R36" s="33" t="str">
        <x:v>www.cbc-guinee.org</x:v>
      </x:c>
      <x:c r="S36" s="33" t="str"/>
      <x:c r="T36" s="35" t="n">
        <x:v>9.5299949</x:v>
      </x:c>
      <x:c r="U36" s="35" t="n">
        <x:v>-13.6832041</x:v>
      </x:c>
      <x:c r="V36" s="33" t="str">
        <x:v>https://www.openstreetmap.org/node/5919384480</x:v>
      </x:c>
      <x:c r="W36" s="33" t="str">
        <x:v>node/5919384480</x:v>
      </x:c>
      <x:c r="X36" s="33" t="str">
        <x:v>review_required</x:v>
      </x:c>
      <x:c r="Y36" s="33" t="str">
        <x:v>cellule balai citoyens|conakry a verifier</x:v>
      </x:c>
      <x:c r="Z36" s="33" t="str">
        <x:v>224625724021</x:v>
      </x:c>
      <x:c r="AA36" s="33" t="str">
        <x:v>cbc-guinee.org</x:v>
      </x:c>
    </x:row>
    <x:row r="37">
      <x:c r="A37" s="30" t="str">
        <x:v>À vérifier</x:v>
      </x:c>
      <x:c r="B37" s="30" t="str"/>
      <x:c r="C37" s="31"/>
      <x:c r="D37" s="30" t="str">
        <x:v>Non vérifié</x:v>
      </x:c>
      <x:c r="E37" s="30" t="str"/>
      <x:c r="F37" s="30" t="str"/>
      <x:c r="G37" s="32" t="str"/>
      <x:c r="H37" s="33" t="str">
        <x:f>IF(I37&lt;&gt;"","Doublon possible","")</x:f>
      </x:c>
      <x:c r="I37" s="33" t="str">
        <x:f>IF(COUNTIFS($Y$9:$Y$678,Y37)&gt;1,"Nom + ville",IF(AND(Z37&lt;&gt;"",COUNTIFS($Z$9:$Z$678,Z37)&gt;1),"Téléphone",IF(AND(AA37&lt;&gt;"",COUNTIFS($AA$9:$AA$678,AA37)&gt;1),"Site web","")))</x:f>
      </x:c>
      <x:c r="J37" s="33" t="str">
        <x:v>CNOSCG</x:v>
      </x:c>
      <x:c r="K37" s="33" t="str">
        <x:v>Associations</x:v>
      </x:c>
      <x:c r="L37" s="33" t="str">
        <x:v>ONG</x:v>
      </x:c>
      <x:c r="M37" s="33" t="str">
        <x:v>Conakry (à vérifier)</x:v>
      </x:c>
      <x:c r="N37" s="33" t="str"/>
      <x:c r="O37" s="33" t="str"/>
      <x:c r="P37" s="33" t="str">
        <x:v>+224622731919</x:v>
      </x:c>
      <x:c r="Q37" s="33" t="str">
        <x:v>societecivileguinenne@gmail.com</x:v>
      </x:c>
      <x:c r="R37" s="33" t="str"/>
      <x:c r="S37" s="33" t="str"/>
      <x:c r="T37" s="35" t="n">
        <x:v>9.5497771</x:v>
      </x:c>
      <x:c r="U37" s="35" t="n">
        <x:v>-13.6713342</x:v>
      </x:c>
      <x:c r="V37" s="33" t="str">
        <x:v>https://www.openstreetmap.org/node/5961433490</x:v>
      </x:c>
      <x:c r="W37" s="33" t="str">
        <x:v>node/5961433490</x:v>
      </x:c>
      <x:c r="X37" s="33" t="str">
        <x:v>review_required</x:v>
      </x:c>
      <x:c r="Y37" s="33" t="str">
        <x:v>cnoscg|conakry a verifier</x:v>
      </x:c>
      <x:c r="Z37" s="33" t="str">
        <x:v>224622731919</x:v>
      </x:c>
      <x:c r="AA37" s="33" t="str"/>
    </x:row>
    <x:row r="38">
      <x:c r="A38" s="30" t="str">
        <x:v>À vérifier</x:v>
      </x:c>
      <x:c r="B38" s="30" t="str"/>
      <x:c r="C38" s="31"/>
      <x:c r="D38" s="30" t="str">
        <x:v>Non vérifié</x:v>
      </x:c>
      <x:c r="E38" s="30" t="str"/>
      <x:c r="F38" s="30" t="str"/>
      <x:c r="G38" s="32" t="str"/>
      <x:c r="H38" s="33" t="str">
        <x:f>IF(I38&lt;&gt;"","Doublon possible","")</x:f>
      </x:c>
      <x:c r="I38" s="33" t="str">
        <x:f>IF(COUNTIFS($Y$9:$Y$678,Y38)&gt;1,"Nom + ville",IF(AND(Z38&lt;&gt;"",COUNTIFS($Z$9:$Z$678,Z38)&gt;1),"Téléphone",IF(AND(AA38&lt;&gt;"",COUNTIFS($AA$9:$AA$678,AA38)&gt;1),"Site web","")))</x:f>
      </x:c>
      <x:c r="J38" s="33" t="str">
        <x:v>Coginta</x:v>
      </x:c>
      <x:c r="K38" s="33" t="str">
        <x:v>Associations</x:v>
      </x:c>
      <x:c r="L38" s="33" t="str">
        <x:v>ONG</x:v>
      </x:c>
      <x:c r="M38" s="33" t="str">
        <x:v>Conakry</x:v>
      </x:c>
      <x:c r="N38" s="33" t="str">
        <x:v>Matam</x:v>
      </x:c>
      <x:c r="O38" s="33" t="str">
        <x:v>Immeuble Rmaiti, 4ème étage, Bloc B Route Nigèr</x:v>
      </x:c>
      <x:c r="P38" s="33" t="str">
        <x:v>+224 620912340</x:v>
      </x:c>
      <x:c r="Q38" s="33" t="str">
        <x:v>admin@coginta.org</x:v>
      </x:c>
      <x:c r="R38" s="33" t="str">
        <x:v>http://www.coginta.org</x:v>
      </x:c>
      <x:c r="S38" s="33" t="str"/>
      <x:c r="T38" s="35" t="n">
        <x:v>9.5289469</x:v>
      </x:c>
      <x:c r="U38" s="35" t="n">
        <x:v>-13.682541</x:v>
      </x:c>
      <x:c r="V38" s="33" t="str">
        <x:v>https://www.openstreetmap.org/node/5206135296</x:v>
      </x:c>
      <x:c r="W38" s="33" t="str">
        <x:v>node/5206135296</x:v>
      </x:c>
      <x:c r="X38" s="33" t="str">
        <x:v>review_required</x:v>
      </x:c>
      <x:c r="Y38" s="33" t="str">
        <x:v>coginta|conakry</x:v>
      </x:c>
      <x:c r="Z38" s="33" t="str">
        <x:v>224620912340</x:v>
      </x:c>
      <x:c r="AA38" s="33" t="str">
        <x:v>coginta.org</x:v>
      </x:c>
    </x:row>
    <x:row r="39">
      <x:c r="A39" s="30" t="str">
        <x:v>À vérifier</x:v>
      </x:c>
      <x:c r="B39" s="30" t="str"/>
      <x:c r="C39" s="31"/>
      <x:c r="D39" s="30" t="str">
        <x:v>Non vérifié</x:v>
      </x:c>
      <x:c r="E39" s="30" t="str"/>
      <x:c r="F39" s="30" t="str"/>
      <x:c r="G39" s="32" t="str"/>
      <x:c r="H39" s="33" t="str">
        <x:f>IF(I39&lt;&gt;"","Doublon possible","")</x:f>
        <x:v>Doublon possible</x:v>
      </x:c>
      <x:c r="I39" s="33" t="str">
        <x:f>IF(COUNTIFS($Y$9:$Y$678,Y39)&gt;1,"Nom + ville",IF(AND(Z39&lt;&gt;"",COUNTIFS($Z$9:$Z$678,Z39)&gt;1),"Téléphone",IF(AND(AA39&lt;&gt;"",COUNTIFS($AA$9:$AA$678,AA39)&gt;1),"Site web","")))</x:f>
        <x:v>Téléphone</x:v>
      </x:c>
      <x:c r="J39" s="33" t="str">
        <x:v>Croix Rouge Guinéenne</x:v>
      </x:c>
      <x:c r="K39" s="33" t="str">
        <x:v>Associations</x:v>
      </x:c>
      <x:c r="L39" s="33" t="str">
        <x:v>ONG</x:v>
      </x:c>
      <x:c r="M39" s="33" t="str">
        <x:v>Conakry</x:v>
      </x:c>
      <x:c r="N39" s="33" t="str"/>
      <x:c r="O39" s="33" t="str">
        <x:v>Kobaya</x:v>
      </x:c>
      <x:c r="P39" s="33" t="str">
        <x:v>+224628682200</x:v>
      </x:c>
      <x:c r="Q39" s="33" t="str">
        <x:v>crgsecretaire.executif1@gmail.com</x:v>
      </x:c>
      <x:c r="R39" s="33" t="str">
        <x:v>https://www.ifrc.org/fr/introduction/ou-intervenons-nous/africa/croix-rouge-guineenne/</x:v>
      </x:c>
      <x:c r="S39" s="33" t="str"/>
      <x:c r="T39" s="35" t="n">
        <x:v>9.6487972</x:v>
      </x:c>
      <x:c r="U39" s="35" t="n">
        <x:v>-13.589674</x:v>
      </x:c>
      <x:c r="V39" s="33" t="str">
        <x:v>https://www.openstreetmap.org/node/3957182474</x:v>
      </x:c>
      <x:c r="W39" s="33" t="str">
        <x:v>node/3957182474</x:v>
      </x:c>
      <x:c r="X39" s="33" t="str">
        <x:v>review_required</x:v>
      </x:c>
      <x:c r="Y39" s="33" t="str">
        <x:v>croix rouge guineenne|conakry</x:v>
      </x:c>
      <x:c r="Z39" s="33" t="str">
        <x:v>224628682200</x:v>
      </x:c>
      <x:c r="AA39" s="33" t="str">
        <x:v>ifrc.org/fr/introduction/ou-intervenons-nous/africa/croix-rouge-guineenne</x:v>
      </x:c>
    </x:row>
    <x:row r="40">
      <x:c r="A40" s="30" t="str">
        <x:v>À vérifier</x:v>
      </x:c>
      <x:c r="B40" s="30" t="str"/>
      <x:c r="C40" s="31"/>
      <x:c r="D40" s="30" t="str">
        <x:v>Non vérifié</x:v>
      </x:c>
      <x:c r="E40" s="30" t="str"/>
      <x:c r="F40" s="30" t="str"/>
      <x:c r="G40" s="32" t="str"/>
      <x:c r="H40" s="33" t="str">
        <x:f>IF(I40&lt;&gt;"","Doublon possible","")</x:f>
      </x:c>
      <x:c r="I40" s="33" t="str">
        <x:f>IF(COUNTIFS($Y$9:$Y$678,Y40)&gt;1,"Nom + ville",IF(AND(Z40&lt;&gt;"",COUNTIFS($Z$9:$Z$678,Z40)&gt;1),"Téléphone",IF(AND(AA40&lt;&gt;"",COUNTIFS($AA$9:$AA$678,AA40)&gt;1),"Site web","")))</x:f>
      </x:c>
      <x:c r="J40" s="33" t="str">
        <x:v>France Volontaire</x:v>
      </x:c>
      <x:c r="K40" s="33" t="str">
        <x:v>Associations</x:v>
      </x:c>
      <x:c r="L40" s="33" t="str">
        <x:v>ONG</x:v>
      </x:c>
      <x:c r="M40" s="33" t="str">
        <x:v>Conakry (à vérifier)</x:v>
      </x:c>
      <x:c r="N40" s="33" t="str"/>
      <x:c r="O40" s="33" t="str"/>
      <x:c r="P40" s="33" t="str">
        <x:v>660358664</x:v>
      </x:c>
      <x:c r="Q40" s="33" t="str"/>
      <x:c r="R40" s="33" t="str">
        <x:v>https://www.france-volontaires.org/</x:v>
      </x:c>
      <x:c r="S40" s="33" t="str"/>
      <x:c r="T40" s="35" t="n">
        <x:v>9.5779531</x:v>
      </x:c>
      <x:c r="U40" s="35" t="n">
        <x:v>-13.6638279</x:v>
      </x:c>
      <x:c r="V40" s="33" t="str">
        <x:v>https://www.openstreetmap.org/node/6407500773</x:v>
      </x:c>
      <x:c r="W40" s="33" t="str">
        <x:v>node/6407500773</x:v>
      </x:c>
      <x:c r="X40" s="33" t="str">
        <x:v>review_required</x:v>
      </x:c>
      <x:c r="Y40" s="33" t="str">
        <x:v>france volontaire|conakry a verifier</x:v>
      </x:c>
      <x:c r="Z40" s="33" t="str">
        <x:v>224660358664</x:v>
      </x:c>
      <x:c r="AA40" s="33" t="str">
        <x:v>france-volontaires.org</x:v>
      </x:c>
    </x:row>
    <x:row r="41">
      <x:c r="A41" s="30" t="str">
        <x:v>À vérifier</x:v>
      </x:c>
      <x:c r="B41" s="30" t="str"/>
      <x:c r="C41" s="31"/>
      <x:c r="D41" s="30" t="str">
        <x:v>Non vérifié</x:v>
      </x:c>
      <x:c r="E41" s="30" t="str"/>
      <x:c r="F41" s="30" t="str"/>
      <x:c r="G41" s="32" t="str"/>
      <x:c r="H41" s="33" t="str">
        <x:f>IF(I41&lt;&gt;"","Doublon possible","")</x:f>
      </x:c>
      <x:c r="I41" s="33" t="str">
        <x:f>IF(COUNTIFS($Y$9:$Y$678,Y41)&gt;1,"Nom + ville",IF(AND(Z41&lt;&gt;"",COUNTIFS($Z$9:$Z$678,Z41)&gt;1),"Téléphone",IF(AND(AA41&lt;&gt;"",COUNTIFS($AA$9:$AA$678,AA41)&gt;1),"Site web","")))</x:f>
      </x:c>
      <x:c r="J41" s="33" t="str">
        <x:v>Fédération Internationale des Sociétés de la Croix-Rouge et du Coissant-Rouge en Guinée (IFRC)</x:v>
      </x:c>
      <x:c r="K41" s="33" t="str">
        <x:v>Associations</x:v>
      </x:c>
      <x:c r="L41" s="33" t="str">
        <x:v>ONG</x:v>
      </x:c>
      <x:c r="M41" s="33" t="str">
        <x:v>Conakry (à vérifier)</x:v>
      </x:c>
      <x:c r="N41" s="33" t="str"/>
      <x:c r="O41" s="33" t="str"/>
      <x:c r="P41" s="33" t="str"/>
      <x:c r="Q41" s="33" t="str"/>
      <x:c r="R41" s="33" t="str">
        <x:v>https://www.ifrc.org/fr</x:v>
      </x:c>
      <x:c r="S41" s="33" t="str"/>
      <x:c r="T41" s="35" t="n">
        <x:v>9.5295421</x:v>
      </x:c>
      <x:c r="U41" s="35" t="n">
        <x:v>-13.6821802</x:v>
      </x:c>
      <x:c r="V41" s="33" t="str">
        <x:v>https://www.openstreetmap.org/node/5839191232</x:v>
      </x:c>
      <x:c r="W41" s="33" t="str">
        <x:v>node/5839191232</x:v>
      </x:c>
      <x:c r="X41" s="33" t="str">
        <x:v>review_required</x:v>
      </x:c>
      <x:c r="Y41" s="33" t="str">
        <x:v>federation internationale des societes de la croix rouge et du coissant rouge en guinee ifrc|conakry a verifier</x:v>
      </x:c>
      <x:c r="Z41" s="33" t="str"/>
      <x:c r="AA41" s="33" t="str">
        <x:v>ifrc.org/fr</x:v>
      </x:c>
    </x:row>
    <x:row r="42">
      <x:c r="A42" s="30" t="str">
        <x:v>À vérifier</x:v>
      </x:c>
      <x:c r="B42" s="30" t="str"/>
      <x:c r="C42" s="31"/>
      <x:c r="D42" s="30" t="str">
        <x:v>Non vérifié</x:v>
      </x:c>
      <x:c r="E42" s="30" t="str"/>
      <x:c r="F42" s="30" t="str"/>
      <x:c r="G42" s="32" t="str"/>
      <x:c r="H42" s="33" t="str">
        <x:f>IF(I42&lt;&gt;"","Doublon possible","")</x:f>
      </x:c>
      <x:c r="I42" s="33" t="str">
        <x:f>IF(COUNTIFS($Y$9:$Y$678,Y42)&gt;1,"Nom + ville",IF(AND(Z42&lt;&gt;"",COUNTIFS($Z$9:$Z$678,Z42)&gt;1),"Téléphone",IF(AND(AA42&lt;&gt;"",COUNTIFS($AA$9:$AA$678,AA42)&gt;1),"Site web","")))</x:f>
      </x:c>
      <x:c r="J42" s="33" t="str">
        <x:v>Gret Guinée</x:v>
      </x:c>
      <x:c r="K42" s="33" t="str">
        <x:v>Associations</x:v>
      </x:c>
      <x:c r="L42" s="33" t="str">
        <x:v>ONG</x:v>
      </x:c>
      <x:c r="M42" s="33" t="str">
        <x:v>Conakry (à vérifier)</x:v>
      </x:c>
      <x:c r="N42" s="33" t="str"/>
      <x:c r="O42" s="33" t="str"/>
      <x:c r="P42" s="33" t="str"/>
      <x:c r="Q42" s="33" t="str"/>
      <x:c r="R42" s="33" t="str">
        <x:v>https://gret.org/</x:v>
      </x:c>
      <x:c r="S42" s="33" t="str"/>
      <x:c r="T42" s="35" t="n">
        <x:v>9.5922933</x:v>
      </x:c>
      <x:c r="U42" s="35" t="n">
        <x:v>-13.6445833</x:v>
      </x:c>
      <x:c r="V42" s="33" t="str">
        <x:v>https://www.openstreetmap.org/node/6279219586</x:v>
      </x:c>
      <x:c r="W42" s="33" t="str">
        <x:v>node/6279219586</x:v>
      </x:c>
      <x:c r="X42" s="33" t="str">
        <x:v>review_required</x:v>
      </x:c>
      <x:c r="Y42" s="33" t="str">
        <x:v>gret guinee|conakry a verifier</x:v>
      </x:c>
      <x:c r="Z42" s="33" t="str"/>
      <x:c r="AA42" s="33" t="str">
        <x:v>gret.org</x:v>
      </x:c>
    </x:row>
    <x:row r="43">
      <x:c r="A43" s="30" t="str">
        <x:v>À vérifier</x:v>
      </x:c>
      <x:c r="B43" s="30" t="str"/>
      <x:c r="C43" s="31"/>
      <x:c r="D43" s="30" t="str">
        <x:v>Non vérifié</x:v>
      </x:c>
      <x:c r="E43" s="30" t="str"/>
      <x:c r="F43" s="30" t="str"/>
      <x:c r="G43" s="32" t="str"/>
      <x:c r="H43" s="33" t="str">
        <x:f>IF(I43&lt;&gt;"","Doublon possible","")</x:f>
      </x:c>
      <x:c r="I43" s="33" t="str">
        <x:f>IF(COUNTIFS($Y$9:$Y$678,Y43)&gt;1,"Nom + ville",IF(AND(Z43&lt;&gt;"",COUNTIFS($Z$9:$Z$678,Z43)&gt;1),"Téléphone",IF(AND(AA43&lt;&gt;"",COUNTIFS($AA$9:$AA$678,AA43)&gt;1),"Site web","")))</x:f>
      </x:c>
      <x:c r="J43" s="33" t="str">
        <x:v>Health Focus Guinée</x:v>
      </x:c>
      <x:c r="K43" s="33" t="str">
        <x:v>Associations</x:v>
      </x:c>
      <x:c r="L43" s="33" t="str">
        <x:v>ONG</x:v>
      </x:c>
      <x:c r="M43" s="33" t="str">
        <x:v>CONAKRY</x:v>
      </x:c>
      <x:c r="N43" s="33" t="str">
        <x:v>Dixinn</x:v>
      </x:c>
      <x:c r="O43" s="33" t="str">
        <x:v>Corniche Nord</x:v>
      </x:c>
      <x:c r="P43" s="33" t="str">
        <x:v>+224622931389</x:v>
      </x:c>
      <x:c r="Q43" s="33" t="str">
        <x:v>guinea@health-focus.de</x:v>
      </x:c>
      <x:c r="R43" s="33" t="str">
        <x:v>https://www.health-focus.de/</x:v>
      </x:c>
      <x:c r="S43" s="33" t="str"/>
      <x:c r="T43" s="35" t="n">
        <x:v>9.5490914</x:v>
      </x:c>
      <x:c r="U43" s="35" t="n">
        <x:v>-13.678993</x:v>
      </x:c>
      <x:c r="V43" s="33" t="str">
        <x:v>https://www.openstreetmap.org/node/5481200237</x:v>
      </x:c>
      <x:c r="W43" s="33" t="str">
        <x:v>node/5481200237</x:v>
      </x:c>
      <x:c r="X43" s="33" t="str">
        <x:v>review_required</x:v>
      </x:c>
      <x:c r="Y43" s="33" t="str">
        <x:v>health focus guinee|conakry</x:v>
      </x:c>
      <x:c r="Z43" s="33" t="str">
        <x:v>224622931389</x:v>
      </x:c>
      <x:c r="AA43" s="33" t="str">
        <x:v>health-focus.de</x:v>
      </x:c>
    </x:row>
    <x:row r="44">
      <x:c r="A44" s="30" t="str">
        <x:v>À vérifier</x:v>
      </x:c>
      <x:c r="B44" s="30" t="str"/>
      <x:c r="C44" s="31"/>
      <x:c r="D44" s="30" t="str">
        <x:v>Non vérifié</x:v>
      </x:c>
      <x:c r="E44" s="30" t="str"/>
      <x:c r="F44" s="30" t="str"/>
      <x:c r="G44" s="32" t="str"/>
      <x:c r="H44" s="33" t="str">
        <x:f>IF(I44&lt;&gt;"","Doublon possible","")</x:f>
      </x:c>
      <x:c r="I44" s="33" t="str">
        <x:f>IF(COUNTIFS($Y$9:$Y$678,Y44)&gt;1,"Nom + ville",IF(AND(Z44&lt;&gt;"",COUNTIFS($Z$9:$Z$678,Z44)&gt;1),"Téléphone",IF(AND(AA44&lt;&gt;"",COUNTIFS($AA$9:$AA$678,AA44)&gt;1),"Site web","")))</x:f>
      </x:c>
      <x:c r="J44" s="33" t="str">
        <x:v>Jhpiego Guinea Office</x:v>
      </x:c>
      <x:c r="K44" s="33" t="str">
        <x:v>Associations</x:v>
      </x:c>
      <x:c r="L44" s="33" t="str">
        <x:v>ONG</x:v>
      </x:c>
      <x:c r="M44" s="33" t="str">
        <x:v>Conakry (à vérifier)</x:v>
      </x:c>
      <x:c r="N44" s="33" t="str"/>
      <x:c r="O44" s="33" t="str">
        <x:v>Corniche Nord</x:v>
      </x:c>
      <x:c r="P44" s="33" t="str"/>
      <x:c r="Q44" s="33" t="str"/>
      <x:c r="R44" s="33" t="str"/>
      <x:c r="S44" s="33" t="str"/>
      <x:c r="T44" s="35" t="n">
        <x:v>9.5313309</x:v>
      </x:c>
      <x:c r="U44" s="35" t="n">
        <x:v>-13.6902847</x:v>
      </x:c>
      <x:c r="V44" s="33" t="str">
        <x:v>https://www.openstreetmap.org/node/5781738572</x:v>
      </x:c>
      <x:c r="W44" s="33" t="str">
        <x:v>node/5781738572</x:v>
      </x:c>
      <x:c r="X44" s="33" t="str">
        <x:v>review_required</x:v>
      </x:c>
      <x:c r="Y44" s="33" t="str">
        <x:v>jhpiego guinea office|conakry a verifier</x:v>
      </x:c>
      <x:c r="Z44" s="33" t="str"/>
      <x:c r="AA44" s="33" t="str"/>
    </x:row>
    <x:row r="45">
      <x:c r="A45" s="30" t="str">
        <x:v>À vérifier</x:v>
      </x:c>
      <x:c r="B45" s="30" t="str"/>
      <x:c r="C45" s="31"/>
      <x:c r="D45" s="30" t="str">
        <x:v>Non vérifié</x:v>
      </x:c>
      <x:c r="E45" s="30" t="str"/>
      <x:c r="F45" s="30" t="str"/>
      <x:c r="G45" s="32" t="str"/>
      <x:c r="H45" s="33" t="str">
        <x:f>IF(I45&lt;&gt;"","Doublon possible","")</x:f>
      </x:c>
      <x:c r="I45" s="33" t="str">
        <x:f>IF(COUNTIFS($Y$9:$Y$678,Y45)&gt;1,"Nom + ville",IF(AND(Z45&lt;&gt;"",COUNTIFS($Z$9:$Z$678,Z45)&gt;1),"Téléphone",IF(AND(AA45&lt;&gt;"",COUNTIFS($AA$9:$AA$678,AA45)&gt;1),"Site web","")))</x:f>
      </x:c>
      <x:c r="J45" s="33" t="str">
        <x:v>ONG Antenna Tinkisso</x:v>
      </x:c>
      <x:c r="K45" s="33" t="str">
        <x:v>Associations</x:v>
      </x:c>
      <x:c r="L45" s="33" t="str">
        <x:v>ONG</x:v>
      </x:c>
      <x:c r="M45" s="33" t="str">
        <x:v>Conakry (à vérifier)</x:v>
      </x:c>
      <x:c r="N45" s="33" t="str"/>
      <x:c r="O45" s="33" t="str"/>
      <x:c r="P45" s="33" t="str">
        <x:v>+224622989796</x:v>
      </x:c>
      <x:c r="Q45" s="33" t="str"/>
      <x:c r="R45" s="33" t="str">
        <x:v>www.tinkissogn.org</x:v>
      </x:c>
      <x:c r="S45" s="33" t="str"/>
      <x:c r="T45" s="35" t="n">
        <x:v>9.623059</x:v>
      </x:c>
      <x:c r="U45" s="35" t="n">
        <x:v>-13.5988667</x:v>
      </x:c>
      <x:c r="V45" s="33" t="str">
        <x:v>https://www.openstreetmap.org/node/6869542794</x:v>
      </x:c>
      <x:c r="W45" s="33" t="str">
        <x:v>node/6869542794</x:v>
      </x:c>
      <x:c r="X45" s="33" t="str">
        <x:v>review_required</x:v>
      </x:c>
      <x:c r="Y45" s="33" t="str">
        <x:v>ong antenna tinkisso|conakry a verifier</x:v>
      </x:c>
      <x:c r="Z45" s="33" t="str">
        <x:v>224622989796</x:v>
      </x:c>
      <x:c r="AA45" s="33" t="str">
        <x:v>tinkissogn.org</x:v>
      </x:c>
    </x:row>
    <x:row r="46">
      <x:c r="A46" s="30" t="str">
        <x:v>À vérifier</x:v>
      </x:c>
      <x:c r="B46" s="30" t="str"/>
      <x:c r="C46" s="31"/>
      <x:c r="D46" s="30" t="str">
        <x:v>Non vérifié</x:v>
      </x:c>
      <x:c r="E46" s="30" t="str"/>
      <x:c r="F46" s="30" t="str"/>
      <x:c r="G46" s="32" t="str"/>
      <x:c r="H46" s="33" t="str">
        <x:f>IF(I46&lt;&gt;"","Doublon possible","")</x:f>
      </x:c>
      <x:c r="I46" s="33" t="str">
        <x:f>IF(COUNTIFS($Y$9:$Y$678,Y46)&gt;1,"Nom + ville",IF(AND(Z46&lt;&gt;"",COUNTIFS($Z$9:$Z$678,Z46)&gt;1),"Téléphone",IF(AND(AA46&lt;&gt;"",COUNTIFS($AA$9:$AA$678,AA46)&gt;1),"Site web","")))</x:f>
      </x:c>
      <x:c r="J46" s="33" t="str">
        <x:v>ONG Médico-social</x:v>
      </x:c>
      <x:c r="K46" s="33" t="str">
        <x:v>Associations</x:v>
      </x:c>
      <x:c r="L46" s="33" t="str">
        <x:v>ONG</x:v>
      </x:c>
      <x:c r="M46" s="33" t="str">
        <x:v>Conakry (à vérifier)</x:v>
      </x:c>
      <x:c r="N46" s="33" t="str"/>
      <x:c r="O46" s="33" t="str"/>
      <x:c r="P46" s="33" t="str">
        <x:v>+224621032659</x:v>
      </x:c>
      <x:c r="Q46" s="33" t="str"/>
      <x:c r="R46" s="33" t="str">
        <x:v>www.refon-aide.org</x:v>
      </x:c>
      <x:c r="S46" s="33" t="str"/>
      <x:c r="T46" s="35" t="n">
        <x:v>9.6330976</x:v>
      </x:c>
      <x:c r="U46" s="35" t="n">
        <x:v>-13.6245974</x:v>
      </x:c>
      <x:c r="V46" s="33" t="str">
        <x:v>https://www.openstreetmap.org/node/8221607889</x:v>
      </x:c>
      <x:c r="W46" s="33" t="str">
        <x:v>node/8221607889</x:v>
      </x:c>
      <x:c r="X46" s="33" t="str">
        <x:v>review_required</x:v>
      </x:c>
      <x:c r="Y46" s="33" t="str">
        <x:v>ong medico social|conakry a verifier</x:v>
      </x:c>
      <x:c r="Z46" s="33" t="str">
        <x:v>224621032659</x:v>
      </x:c>
      <x:c r="AA46" s="33" t="str">
        <x:v>refon-aide.org</x:v>
      </x:c>
    </x:row>
    <x:row r="47">
      <x:c r="A47" s="30" t="str">
        <x:v>À vérifier</x:v>
      </x:c>
      <x:c r="B47" s="30" t="str"/>
      <x:c r="C47" s="31"/>
      <x:c r="D47" s="30" t="str">
        <x:v>Non vérifié</x:v>
      </x:c>
      <x:c r="E47" s="30" t="str"/>
      <x:c r="F47" s="30" t="str"/>
      <x:c r="G47" s="32" t="str"/>
      <x:c r="H47" s="33" t="str">
        <x:f>IF(I47&lt;&gt;"","Doublon possible","")</x:f>
      </x:c>
      <x:c r="I47" s="33" t="str">
        <x:f>IF(COUNTIFS($Y$9:$Y$678,Y47)&gt;1,"Nom + ville",IF(AND(Z47&lt;&gt;"",COUNTIFS($Z$9:$Z$678,Z47)&gt;1),"Téléphone",IF(AND(AA47&lt;&gt;"",COUNTIFS($AA$9:$AA$678,AA47)&gt;1),"Site web","")))</x:f>
      </x:c>
      <x:c r="J47" s="33" t="str">
        <x:v>Organisation Guinéenne de défense des droits de l'homme et du citoyen</x:v>
      </x:c>
      <x:c r="K47" s="33" t="str">
        <x:v>Associations</x:v>
      </x:c>
      <x:c r="L47" s="33" t="str">
        <x:v>ONG</x:v>
      </x:c>
      <x:c r="M47" s="33" t="str">
        <x:v>Conakry (à vérifier)</x:v>
      </x:c>
      <x:c r="N47" s="33" t="str"/>
      <x:c r="O47" s="33" t="str"/>
      <x:c r="P47" s="33" t="str">
        <x:v>+224664211124</x:v>
      </x:c>
      <x:c r="Q47" s="33" t="str">
        <x:v>ogdh2016@gmail.com</x:v>
      </x:c>
      <x:c r="R47" s="33" t="str"/>
      <x:c r="S47" s="33" t="str"/>
      <x:c r="T47" s="35" t="n">
        <x:v>9.5551515</x:v>
      </x:c>
      <x:c r="U47" s="35" t="n">
        <x:v>-13.6694988</x:v>
      </x:c>
      <x:c r="V47" s="33" t="str">
        <x:v>https://www.openstreetmap.org/node/5970585078</x:v>
      </x:c>
      <x:c r="W47" s="33" t="str">
        <x:v>node/5970585078</x:v>
      </x:c>
      <x:c r="X47" s="33" t="str">
        <x:v>review_required</x:v>
      </x:c>
      <x:c r="Y47" s="33" t="str">
        <x:v>organisation guineenne de defense des droits de l homme et du citoyen|conakry a verifier</x:v>
      </x:c>
      <x:c r="Z47" s="33" t="str">
        <x:v>224664211124</x:v>
      </x:c>
      <x:c r="AA47" s="33" t="str"/>
    </x:row>
    <x:row r="48">
      <x:c r="A48" s="30" t="str">
        <x:v>À vérifier</x:v>
      </x:c>
      <x:c r="B48" s="30" t="str"/>
      <x:c r="C48" s="31"/>
      <x:c r="D48" s="30" t="str">
        <x:v>Non vérifié</x:v>
      </x:c>
      <x:c r="E48" s="30" t="str"/>
      <x:c r="F48" s="30" t="str"/>
      <x:c r="G48" s="32" t="str"/>
      <x:c r="H48" s="33" t="str">
        <x:f>IF(I48&lt;&gt;"","Doublon possible","")</x:f>
      </x:c>
      <x:c r="I48" s="33" t="str">
        <x:f>IF(COUNTIFS($Y$9:$Y$678,Y48)&gt;1,"Nom + ville",IF(AND(Z48&lt;&gt;"",COUNTIFS($Z$9:$Z$678,Z48)&gt;1),"Téléphone",IF(AND(AA48&lt;&gt;"",COUNTIFS($AA$9:$AA$678,AA48)&gt;1),"Site web","")))</x:f>
      </x:c>
      <x:c r="J48" s="33" t="str">
        <x:v>Organisation internationale pour les migrations (OIM)</x:v>
      </x:c>
      <x:c r="K48" s="33" t="str">
        <x:v>Associations</x:v>
      </x:c>
      <x:c r="L48" s="33" t="str">
        <x:v>ONG</x:v>
      </x:c>
      <x:c r="M48" s="33" t="str">
        <x:v>conakry</x:v>
      </x:c>
      <x:c r="N48" s="33" t="str"/>
      <x:c r="O48" s="33" t="str">
        <x:v>Rue DI. 252</x:v>
      </x:c>
      <x:c r="P48" s="33" t="str"/>
      <x:c r="Q48" s="33" t="str">
        <x:v>ckyoffice@iom.int</x:v>
      </x:c>
      <x:c r="R48" s="33" t="str">
        <x:v>https://www.iom.int/fr/countries/guinea</x:v>
      </x:c>
      <x:c r="S48" s="33" t="str"/>
      <x:c r="T48" s="35" t="n">
        <x:v>9.5396454</x:v>
      </x:c>
      <x:c r="U48" s="35" t="n">
        <x:v>-13.6813911</x:v>
      </x:c>
      <x:c r="V48" s="33" t="str">
        <x:v>https://www.openstreetmap.org/node/5594830021</x:v>
      </x:c>
      <x:c r="W48" s="33" t="str">
        <x:v>node/5594830021</x:v>
      </x:c>
      <x:c r="X48" s="33" t="str">
        <x:v>review_required</x:v>
      </x:c>
      <x:c r="Y48" s="33" t="str">
        <x:v>organisation internationale pour les migrations oim|conakry</x:v>
      </x:c>
      <x:c r="Z48" s="33" t="str"/>
      <x:c r="AA48" s="33" t="str">
        <x:v>iom.int/fr/countries/guinea</x:v>
      </x:c>
    </x:row>
    <x:row r="49">
      <x:c r="A49" s="30" t="str">
        <x:v>À vérifier</x:v>
      </x:c>
      <x:c r="B49" s="30" t="str"/>
      <x:c r="C49" s="31"/>
      <x:c r="D49" s="30" t="str">
        <x:v>Non vérifié</x:v>
      </x:c>
      <x:c r="E49" s="30" t="str"/>
      <x:c r="F49" s="30" t="str"/>
      <x:c r="G49" s="32" t="str"/>
      <x:c r="H49" s="33" t="str">
        <x:f>IF(I49&lt;&gt;"","Doublon possible","")</x:f>
      </x:c>
      <x:c r="I49" s="33" t="str">
        <x:f>IF(COUNTIFS($Y$9:$Y$678,Y49)&gt;1,"Nom + ville",IF(AND(Z49&lt;&gt;"",COUNTIFS($Z$9:$Z$678,Z49)&gt;1),"Téléphone",IF(AND(AA49&lt;&gt;"",COUNTIFS($AA$9:$AA$678,AA49)&gt;1),"Site web","")))</x:f>
      </x:c>
      <x:c r="J49" s="33" t="str">
        <x:v>OSIWA</x:v>
      </x:c>
      <x:c r="K49" s="33" t="str">
        <x:v>Associations</x:v>
      </x:c>
      <x:c r="L49" s="33" t="str">
        <x:v>ONG</x:v>
      </x:c>
      <x:c r="M49" s="33" t="str">
        <x:v>Conakry (à vérifier)</x:v>
      </x:c>
      <x:c r="N49" s="33" t="str"/>
      <x:c r="O49" s="33" t="str">
        <x:v>Route Donka</x:v>
      </x:c>
      <x:c r="P49" s="33" t="str">
        <x:v>00224628616178</x:v>
      </x:c>
      <x:c r="Q49" s="33" t="str">
        <x:v>osiwa-guinee@osiwa.org</x:v>
      </x:c>
      <x:c r="R49" s="33" t="str">
        <x:v>https://www.osiwa.org/</x:v>
      </x:c>
      <x:c r="S49" s="33" t="str"/>
      <x:c r="T49" s="35" t="n">
        <x:v>9.5399004</x:v>
      </x:c>
      <x:c r="U49" s="35" t="n">
        <x:v>-13.6816333</x:v>
      </x:c>
      <x:c r="V49" s="33" t="str">
        <x:v>https://www.openstreetmap.org/node/4405091143</x:v>
      </x:c>
      <x:c r="W49" s="33" t="str">
        <x:v>node/4405091143</x:v>
      </x:c>
      <x:c r="X49" s="33" t="str">
        <x:v>review_required</x:v>
      </x:c>
      <x:c r="Y49" s="33" t="str">
        <x:v>osiwa|conakry a verifier</x:v>
      </x:c>
      <x:c r="Z49" s="33" t="str">
        <x:v>224628616178</x:v>
      </x:c>
      <x:c r="AA49" s="33" t="str">
        <x:v>osiwa.org</x:v>
      </x:c>
    </x:row>
    <x:row r="50">
      <x:c r="A50" s="30" t="str">
        <x:v>À vérifier</x:v>
      </x:c>
      <x:c r="B50" s="30" t="str"/>
      <x:c r="C50" s="31"/>
      <x:c r="D50" s="30" t="str">
        <x:v>Non vérifié</x:v>
      </x:c>
      <x:c r="E50" s="30" t="str"/>
      <x:c r="F50" s="30" t="str"/>
      <x:c r="G50" s="32" t="str"/>
      <x:c r="H50" s="33" t="str">
        <x:f>IF(I50&lt;&gt;"","Doublon possible","")</x:f>
      </x:c>
      <x:c r="I50" s="33" t="str">
        <x:f>IF(COUNTIFS($Y$9:$Y$678,Y50)&gt;1,"Nom + ville",IF(AND(Z50&lt;&gt;"",COUNTIFS($Z$9:$Z$678,Z50)&gt;1),"Téléphone",IF(AND(AA50&lt;&gt;"",COUNTIFS($AA$9:$AA$678,AA50)&gt;1),"Site web","")))</x:f>
      </x:c>
      <x:c r="J50" s="33" t="str">
        <x:v>PCUD</x:v>
      </x:c>
      <x:c r="K50" s="33" t="str">
        <x:v>Associations</x:v>
      </x:c>
      <x:c r="L50" s="33" t="str">
        <x:v>ONG</x:v>
      </x:c>
      <x:c r="M50" s="33" t="str">
        <x:v>Conakry (à vérifier)</x:v>
      </x:c>
      <x:c r="N50" s="33" t="str"/>
      <x:c r="O50" s="33" t="str"/>
      <x:c r="P50" s="33" t="str">
        <x:v>622595052</x:v>
      </x:c>
      <x:c r="Q50" s="33" t="str">
        <x:v>pcudguinee@hotmail.fr</x:v>
      </x:c>
      <x:c r="R50" s="33" t="str"/>
      <x:c r="S50" s="33" t="str"/>
      <x:c r="T50" s="35" t="n">
        <x:v>9.5964702</x:v>
      </x:c>
      <x:c r="U50" s="35" t="n">
        <x:v>-13.6545222</x:v>
      </x:c>
      <x:c r="V50" s="33" t="str">
        <x:v>https://www.openstreetmap.org/node/5697184340</x:v>
      </x:c>
      <x:c r="W50" s="33" t="str">
        <x:v>node/5697184340</x:v>
      </x:c>
      <x:c r="X50" s="33" t="str">
        <x:v>review_required</x:v>
      </x:c>
      <x:c r="Y50" s="33" t="str">
        <x:v>pcud|conakry a verifier</x:v>
      </x:c>
      <x:c r="Z50" s="33" t="str">
        <x:v>224622595052</x:v>
      </x:c>
      <x:c r="AA50" s="33" t="str"/>
    </x:row>
    <x:row r="51">
      <x:c r="A51" s="30" t="str">
        <x:v>À vérifier</x:v>
      </x:c>
      <x:c r="B51" s="30" t="str"/>
      <x:c r="C51" s="31"/>
      <x:c r="D51" s="30" t="str">
        <x:v>Non vérifié</x:v>
      </x:c>
      <x:c r="E51" s="30" t="str"/>
      <x:c r="F51" s="30" t="str"/>
      <x:c r="G51" s="32" t="str"/>
      <x:c r="H51" s="33" t="str">
        <x:f>IF(I51&lt;&gt;"","Doublon possible","")</x:f>
      </x:c>
      <x:c r="I51" s="33" t="str">
        <x:f>IF(COUNTIFS($Y$9:$Y$678,Y51)&gt;1,"Nom + ville",IF(AND(Z51&lt;&gt;"",COUNTIFS($Z$9:$Z$678,Z51)&gt;1),"Téléphone",IF(AND(AA51&lt;&gt;"",COUNTIFS($AA$9:$AA$678,AA51)&gt;1),"Site web","")))</x:f>
      </x:c>
      <x:c r="J51" s="33" t="str">
        <x:v>Peace Corps Guinea</x:v>
      </x:c>
      <x:c r="K51" s="33" t="str">
        <x:v>Associations</x:v>
      </x:c>
      <x:c r="L51" s="33" t="str">
        <x:v>ONG</x:v>
      </x:c>
      <x:c r="M51" s="33" t="str">
        <x:v>Conakry</x:v>
      </x:c>
      <x:c r="N51" s="33" t="str"/>
      <x:c r="O51" s="33" t="str">
        <x:v>Taouyah, Plage Rogbanè</x:v>
      </x:c>
      <x:c r="P51" s="33" t="str">
        <x:v>622350240</x:v>
      </x:c>
      <x:c r="Q51" s="33" t="str"/>
      <x:c r="R51" s="33" t="str">
        <x:v>http://www.guinea.peacecorps.gov/</x:v>
      </x:c>
      <x:c r="S51" s="33" t="str"/>
      <x:c r="T51" s="35" t="n">
        <x:v>9.5795979</x:v>
      </x:c>
      <x:c r="U51" s="35" t="n">
        <x:v>-13.6649468</x:v>
      </x:c>
      <x:c r="V51" s="33" t="str">
        <x:v>https://www.openstreetmap.org/node/5731048822</x:v>
      </x:c>
      <x:c r="W51" s="33" t="str">
        <x:v>node/5731048822</x:v>
      </x:c>
      <x:c r="X51" s="33" t="str">
        <x:v>review_required</x:v>
      </x:c>
      <x:c r="Y51" s="33" t="str">
        <x:v>peace corps guinea|conakry</x:v>
      </x:c>
      <x:c r="Z51" s="33" t="str">
        <x:v>224622350240</x:v>
      </x:c>
      <x:c r="AA51" s="33" t="str">
        <x:v>guinea.peacecorps.gov</x:v>
      </x:c>
    </x:row>
    <x:row r="52">
      <x:c r="A52" s="30" t="str">
        <x:v>À vérifier</x:v>
      </x:c>
      <x:c r="B52" s="30" t="str"/>
      <x:c r="C52" s="31"/>
      <x:c r="D52" s="30" t="str">
        <x:v>Non vérifié</x:v>
      </x:c>
      <x:c r="E52" s="30" t="str"/>
      <x:c r="F52" s="30" t="str"/>
      <x:c r="G52" s="32" t="str"/>
      <x:c r="H52" s="33" t="str">
        <x:f>IF(I52&lt;&gt;"","Doublon possible","")</x:f>
      </x:c>
      <x:c r="I52" s="33" t="str">
        <x:f>IF(COUNTIFS($Y$9:$Y$678,Y52)&gt;1,"Nom + ville",IF(AND(Z52&lt;&gt;"",COUNTIFS($Z$9:$Z$678,Z52)&gt;1),"Téléphone",IF(AND(AA52&lt;&gt;"",COUNTIFS($AA$9:$AA$678,AA52)&gt;1),"Site web","")))</x:f>
      </x:c>
      <x:c r="J52" s="33" t="str">
        <x:v>Programme Alimentaire Mondial (PAM)</x:v>
      </x:c>
      <x:c r="K52" s="33" t="str">
        <x:v>Associations</x:v>
      </x:c>
      <x:c r="L52" s="33" t="str">
        <x:v>ONG</x:v>
      </x:c>
      <x:c r="M52" s="33" t="str">
        <x:v>Conakry (à vérifier)</x:v>
      </x:c>
      <x:c r="N52" s="33" t="str"/>
      <x:c r="O52" s="33" t="str"/>
      <x:c r="P52" s="33" t="str"/>
      <x:c r="Q52" s="33" t="str"/>
      <x:c r="R52" s="33" t="str">
        <x:v>https://www.wfp.org/countries/guinea/home</x:v>
      </x:c>
      <x:c r="S52" s="33" t="str"/>
      <x:c r="T52" s="35" t="n">
        <x:v>9.5324921</x:v>
      </x:c>
      <x:c r="U52" s="35" t="n">
        <x:v>-13.689844</x:v>
      </x:c>
      <x:c r="V52" s="33" t="str">
        <x:v>https://www.openstreetmap.org/node/2989476444</x:v>
      </x:c>
      <x:c r="W52" s="33" t="str">
        <x:v>node/2989476444</x:v>
      </x:c>
      <x:c r="X52" s="33" t="str">
        <x:v>review_required</x:v>
      </x:c>
      <x:c r="Y52" s="33" t="str">
        <x:v>programme alimentaire mondial pam|conakry a verifier</x:v>
      </x:c>
      <x:c r="Z52" s="33" t="str"/>
      <x:c r="AA52" s="33" t="str">
        <x:v>wfp.org/countries/guinea/home</x:v>
      </x:c>
    </x:row>
    <x:row r="53">
      <x:c r="A53" s="30" t="str">
        <x:v>À vérifier</x:v>
      </x:c>
      <x:c r="B53" s="30" t="str"/>
      <x:c r="C53" s="31"/>
      <x:c r="D53" s="30" t="str">
        <x:v>Non vérifié</x:v>
      </x:c>
      <x:c r="E53" s="30" t="str"/>
      <x:c r="F53" s="30" t="str"/>
      <x:c r="G53" s="32" t="str"/>
      <x:c r="H53" s="33" t="str">
        <x:f>IF(I53&lt;&gt;"","Doublon possible","")</x:f>
      </x:c>
      <x:c r="I53" s="33" t="str">
        <x:f>IF(COUNTIFS($Y$9:$Y$678,Y53)&gt;1,"Nom + ville",IF(AND(Z53&lt;&gt;"",COUNTIFS($Z$9:$Z$678,Z53)&gt;1),"Téléphone",IF(AND(AA53&lt;&gt;"",COUNTIFS($AA$9:$AA$678,AA53)&gt;1),"Site web","")))</x:f>
      </x:c>
      <x:c r="J53" s="33" t="str">
        <x:v>Résidence Alima</x:v>
      </x:c>
      <x:c r="K53" s="33" t="str">
        <x:v>Associations</x:v>
      </x:c>
      <x:c r="L53" s="33" t="str">
        <x:v>ONG</x:v>
      </x:c>
      <x:c r="M53" s="33" t="str">
        <x:v>Conakry, Dixinn</x:v>
      </x:c>
      <x:c r="N53" s="33" t="str"/>
      <x:c r="O53" s="33" t="str">
        <x:v>Corniche Nord</x:v>
      </x:c>
      <x:c r="P53" s="33" t="str"/>
      <x:c r="Q53" s="33" t="str"/>
      <x:c r="R53" s="33" t="str"/>
      <x:c r="S53" s="33" t="str"/>
      <x:c r="T53" s="35" t="n">
        <x:v>9.5470085</x:v>
      </x:c>
      <x:c r="U53" s="35" t="n">
        <x:v>-13.678443</x:v>
      </x:c>
      <x:c r="V53" s="33" t="str">
        <x:v>https://www.openstreetmap.org/node/5960834337</x:v>
      </x:c>
      <x:c r="W53" s="33" t="str">
        <x:v>node/5960834337</x:v>
      </x:c>
      <x:c r="X53" s="33" t="str">
        <x:v>review_required</x:v>
      </x:c>
      <x:c r="Y53" s="33" t="str">
        <x:v>residence alima|conakry dixinn</x:v>
      </x:c>
      <x:c r="Z53" s="33" t="str"/>
      <x:c r="AA53" s="33" t="str"/>
    </x:row>
    <x:row r="54">
      <x:c r="A54" s="30" t="str">
        <x:v>À vérifier</x:v>
      </x:c>
      <x:c r="B54" s="30" t="str"/>
      <x:c r="C54" s="31"/>
      <x:c r="D54" s="30" t="str">
        <x:v>Non vérifié</x:v>
      </x:c>
      <x:c r="E54" s="30" t="str"/>
      <x:c r="F54" s="30" t="str"/>
      <x:c r="G54" s="32" t="str"/>
      <x:c r="H54" s="33" t="str">
        <x:f>IF(I54&lt;&gt;"","Doublon possible","")</x:f>
      </x:c>
      <x:c r="I54" s="33" t="str">
        <x:f>IF(COUNTIFS($Y$9:$Y$678,Y54)&gt;1,"Nom + ville",IF(AND(Z54&lt;&gt;"",COUNTIFS($Z$9:$Z$678,Z54)&gt;1),"Téléphone",IF(AND(AA54&lt;&gt;"",COUNTIFS($AA$9:$AA$678,AA54)&gt;1),"Site web","")))</x:f>
      </x:c>
      <x:c r="J54" s="33" t="str">
        <x:v>Search for Common Ground</x:v>
      </x:c>
      <x:c r="K54" s="33" t="str">
        <x:v>Associations</x:v>
      </x:c>
      <x:c r="L54" s="33" t="str">
        <x:v>ONG</x:v>
      </x:c>
      <x:c r="M54" s="33" t="str">
        <x:v>Conakry (à vérifier)</x:v>
      </x:c>
      <x:c r="N54" s="33" t="str"/>
      <x:c r="O54" s="33" t="str"/>
      <x:c r="P54" s="33" t="str">
        <x:v>622323212</x:v>
      </x:c>
      <x:c r="Q54" s="33" t="str"/>
      <x:c r="R54" s="33" t="str">
        <x:v>https://www.sfcg.org/</x:v>
      </x:c>
      <x:c r="S54" s="33" t="str"/>
      <x:c r="T54" s="35" t="n">
        <x:v>9.5815583</x:v>
      </x:c>
      <x:c r="U54" s="35" t="n">
        <x:v>-13.6631905</x:v>
      </x:c>
      <x:c r="V54" s="33" t="str">
        <x:v>https://www.openstreetmap.org/node/6324841450</x:v>
      </x:c>
      <x:c r="W54" s="33" t="str">
        <x:v>node/6324841450</x:v>
      </x:c>
      <x:c r="X54" s="33" t="str">
        <x:v>review_required</x:v>
      </x:c>
      <x:c r="Y54" s="33" t="str">
        <x:v>search for common ground|conakry a verifier</x:v>
      </x:c>
      <x:c r="Z54" s="33" t="str">
        <x:v>224622323212</x:v>
      </x:c>
      <x:c r="AA54" s="33" t="str">
        <x:v>sfcg.org</x:v>
      </x:c>
    </x:row>
    <x:row r="55">
      <x:c r="A55" s="30" t="str">
        <x:v>À vérifier</x:v>
      </x:c>
      <x:c r="B55" s="30" t="str"/>
      <x:c r="C55" s="31"/>
      <x:c r="D55" s="30" t="str">
        <x:v>Non vérifié</x:v>
      </x:c>
      <x:c r="E55" s="30" t="str"/>
      <x:c r="F55" s="30" t="str"/>
      <x:c r="G55" s="32" t="str"/>
      <x:c r="H55" s="33" t="str">
        <x:f>IF(I55&lt;&gt;"","Doublon possible","")</x:f>
      </x:c>
      <x:c r="I55" s="33" t="str">
        <x:f>IF(COUNTIFS($Y$9:$Y$678,Y55)&gt;1,"Nom + ville",IF(AND(Z55&lt;&gt;"",COUNTIFS($Z$9:$Z$678,Z55)&gt;1),"Téléphone",IF(AND(AA55&lt;&gt;"",COUNTIFS($AA$9:$AA$678,AA55)&gt;1),"Site web","")))</x:f>
      </x:c>
      <x:c r="J55" s="33" t="str">
        <x:v>Winrock</x:v>
      </x:c>
      <x:c r="K55" s="33" t="str">
        <x:v>Associations</x:v>
      </x:c>
      <x:c r="L55" s="33" t="str">
        <x:v>ONG</x:v>
      </x:c>
      <x:c r="M55" s="33" t="str">
        <x:v>Conakry (à vérifier)</x:v>
      </x:c>
      <x:c r="N55" s="33" t="str"/>
      <x:c r="O55" s="33" t="str">
        <x:v>Rue RO. 226</x:v>
      </x:c>
      <x:c r="P55" s="33" t="str"/>
      <x:c r="Q55" s="33" t="str"/>
      <x:c r="R55" s="33" t="str"/>
      <x:c r="S55" s="33" t="str"/>
      <x:c r="T55" s="35" t="n">
        <x:v>9.604076</x:v>
      </x:c>
      <x:c r="U55" s="35" t="n">
        <x:v>-13.6437595</x:v>
      </x:c>
      <x:c r="V55" s="33" t="str">
        <x:v>https://www.openstreetmap.org/node/6857143785</x:v>
      </x:c>
      <x:c r="W55" s="33" t="str">
        <x:v>node/6857143785</x:v>
      </x:c>
      <x:c r="X55" s="33" t="str">
        <x:v>review_required</x:v>
      </x:c>
      <x:c r="Y55" s="33" t="str">
        <x:v>winrock|conakry a verifier</x:v>
      </x:c>
      <x:c r="Z55" s="33" t="str"/>
      <x:c r="AA55" s="33" t="str"/>
    </x:row>
    <x:row r="56">
      <x:c r="A56" s="30" t="str">
        <x:v>À vérifier</x:v>
      </x:c>
      <x:c r="B56" s="30" t="str"/>
      <x:c r="C56" s="31"/>
      <x:c r="D56" s="30" t="str">
        <x:v>Non vérifié</x:v>
      </x:c>
      <x:c r="E56" s="30" t="str"/>
      <x:c r="F56" s="30" t="str"/>
      <x:c r="G56" s="32" t="str"/>
      <x:c r="H56" s="33" t="str">
        <x:f>IF(I56&lt;&gt;"","Doublon possible","")</x:f>
      </x:c>
      <x:c r="I56" s="33" t="str">
        <x:f>IF(COUNTIFS($Y$9:$Y$678,Y56)&gt;1,"Nom + ville",IF(AND(Z56&lt;&gt;"",COUNTIFS($Z$9:$Z$678,Z56)&gt;1),"Téléphone",IF(AND(AA56&lt;&gt;"",COUNTIFS($AA$9:$AA$678,AA56)&gt;1),"Site web","")))</x:f>
      </x:c>
      <x:c r="J56" s="33" t="str">
        <x:v>garage Ibrahim</x:v>
      </x:c>
      <x:c r="K56" s="33" t="str">
        <x:v>Automobile</x:v>
      </x:c>
      <x:c r="L56" s="33" t="str">
        <x:v>Garages</x:v>
      </x:c>
      <x:c r="M56" s="33" t="str">
        <x:v>Conakry (à vérifier)</x:v>
      </x:c>
      <x:c r="N56" s="33" t="str"/>
      <x:c r="O56" s="33" t="str"/>
      <x:c r="P56" s="33" t="str">
        <x:v>621024060</x:v>
      </x:c>
      <x:c r="Q56" s="33" t="str"/>
      <x:c r="R56" s="33" t="str"/>
      <x:c r="S56" s="33" t="str"/>
      <x:c r="T56" s="35" t="n">
        <x:v>9.5732715</x:v>
      </x:c>
      <x:c r="U56" s="35" t="n">
        <x:v>-13.6463272</x:v>
      </x:c>
      <x:c r="V56" s="33" t="str">
        <x:v>https://www.openstreetmap.org/node/5991604386</x:v>
      </x:c>
      <x:c r="W56" s="33" t="str">
        <x:v>node/5991604386</x:v>
      </x:c>
      <x:c r="X56" s="33" t="str">
        <x:v>review_required</x:v>
      </x:c>
      <x:c r="Y56" s="33" t="str">
        <x:v>garage ibrahim|conakry a verifier</x:v>
      </x:c>
      <x:c r="Z56" s="33" t="str">
        <x:v>224621024060</x:v>
      </x:c>
      <x:c r="AA56" s="33" t="str"/>
    </x:row>
    <x:row r="57">
      <x:c r="A57" s="30" t="str">
        <x:v>À vérifier</x:v>
      </x:c>
      <x:c r="B57" s="30" t="str"/>
      <x:c r="C57" s="31"/>
      <x:c r="D57" s="30" t="str">
        <x:v>Non vérifié</x:v>
      </x:c>
      <x:c r="E57" s="30" t="str"/>
      <x:c r="F57" s="30" t="str"/>
      <x:c r="G57" s="32" t="str"/>
      <x:c r="H57" s="33" t="str">
        <x:f>IF(I57&lt;&gt;"","Doublon possible","")</x:f>
      </x:c>
      <x:c r="I57" s="33" t="str">
        <x:f>IF(COUNTIFS($Y$9:$Y$678,Y57)&gt;1,"Nom + ville",IF(AND(Z57&lt;&gt;"",COUNTIFS($Z$9:$Z$678,Z57)&gt;1),"Téléphone",IF(AND(AA57&lt;&gt;"",COUNTIFS($AA$9:$AA$678,AA57)&gt;1),"Site web","")))</x:f>
      </x:c>
      <x:c r="J57" s="33" t="str">
        <x:v>Garage Mr Malick</x:v>
      </x:c>
      <x:c r="K57" s="33" t="str">
        <x:v>Automobile</x:v>
      </x:c>
      <x:c r="L57" s="33" t="str">
        <x:v>Garages</x:v>
      </x:c>
      <x:c r="M57" s="33" t="str">
        <x:v>Conakry (à vérifier)</x:v>
      </x:c>
      <x:c r="N57" s="33" t="str"/>
      <x:c r="O57" s="33" t="str"/>
      <x:c r="P57" s="33" t="str">
        <x:v>+224624833733</x:v>
      </x:c>
      <x:c r="Q57" s="33" t="str"/>
      <x:c r="R57" s="33" t="str"/>
      <x:c r="S57" s="33" t="str"/>
      <x:c r="T57" s="35" t="n">
        <x:v>9.5711712</x:v>
      </x:c>
      <x:c r="U57" s="35" t="n">
        <x:v>-13.6485111</x:v>
      </x:c>
      <x:c r="V57" s="33" t="str">
        <x:v>https://www.openstreetmap.org/node/6178594585</x:v>
      </x:c>
      <x:c r="W57" s="33" t="str">
        <x:v>node/6178594585</x:v>
      </x:c>
      <x:c r="X57" s="33" t="str">
        <x:v>review_required</x:v>
      </x:c>
      <x:c r="Y57" s="33" t="str">
        <x:v>garage mr malick|conakry a verifier</x:v>
      </x:c>
      <x:c r="Z57" s="33" t="str">
        <x:v>224624833733</x:v>
      </x:c>
      <x:c r="AA57" s="33" t="str"/>
    </x:row>
    <x:row r="58">
      <x:c r="A58" s="30" t="str">
        <x:v>À vérifier</x:v>
      </x:c>
      <x:c r="B58" s="30" t="str"/>
      <x:c r="C58" s="31"/>
      <x:c r="D58" s="30" t="str">
        <x:v>Non vérifié</x:v>
      </x:c>
      <x:c r="E58" s="30" t="str"/>
      <x:c r="F58" s="30" t="str"/>
      <x:c r="G58" s="32" t="str"/>
      <x:c r="H58" s="33" t="str">
        <x:f>IF(I58&lt;&gt;"","Doublon possible","")</x:f>
      </x:c>
      <x:c r="I58" s="33" t="str">
        <x:f>IF(COUNTIFS($Y$9:$Y$678,Y58)&gt;1,"Nom + ville",IF(AND(Z58&lt;&gt;"",COUNTIFS($Z$9:$Z$678,Z58)&gt;1),"Téléphone",IF(AND(AA58&lt;&gt;"",COUNTIFS($AA$9:$AA$678,AA58)&gt;1),"Site web","")))</x:f>
      </x:c>
      <x:c r="J58" s="33" t="str">
        <x:v>Gobal Mining Services</x:v>
      </x:c>
      <x:c r="K58" s="33" t="str">
        <x:v>Automobile</x:v>
      </x:c>
      <x:c r="L58" s="33" t="str">
        <x:v>Garages</x:v>
      </x:c>
      <x:c r="M58" s="33" t="str">
        <x:v>Conakry (à vérifier)</x:v>
      </x:c>
      <x:c r="N58" s="33" t="str"/>
      <x:c r="O58" s="33" t="str">
        <x:v>R.O. 100</x:v>
      </x:c>
      <x:c r="P58" s="33" t="str"/>
      <x:c r="Q58" s="33" t="str"/>
      <x:c r="R58" s="33" t="str"/>
      <x:c r="S58" s="33" t="str"/>
      <x:c r="T58" s="35" t="n">
        <x:v>9.6098301</x:v>
      </x:c>
      <x:c r="U58" s="35" t="n">
        <x:v>-13.6464746</x:v>
      </x:c>
      <x:c r="V58" s="33" t="str">
        <x:v>https://www.openstreetmap.org/node/969591251</x:v>
      </x:c>
      <x:c r="W58" s="33" t="str">
        <x:v>node/969591251</x:v>
      </x:c>
      <x:c r="X58" s="33" t="str">
        <x:v>review_required</x:v>
      </x:c>
      <x:c r="Y58" s="33" t="str">
        <x:v>gobal mining services|conakry a verifier</x:v>
      </x:c>
      <x:c r="Z58" s="33" t="str"/>
      <x:c r="AA58" s="33" t="str"/>
    </x:row>
    <x:row r="59">
      <x:c r="A59" s="30" t="str">
        <x:v>À vérifier</x:v>
      </x:c>
      <x:c r="B59" s="30" t="str"/>
      <x:c r="C59" s="31"/>
      <x:c r="D59" s="30" t="str">
        <x:v>Non vérifié</x:v>
      </x:c>
      <x:c r="E59" s="30" t="str"/>
      <x:c r="F59" s="30" t="str"/>
      <x:c r="G59" s="32" t="str"/>
      <x:c r="H59" s="33" t="str">
        <x:f>IF(I59&lt;&gt;"","Doublon possible","")</x:f>
      </x:c>
      <x:c r="I59" s="33" t="str">
        <x:f>IF(COUNTIFS($Y$9:$Y$678,Y59)&gt;1,"Nom + ville",IF(AND(Z59&lt;&gt;"",COUNTIFS($Z$9:$Z$678,Z59)&gt;1),"Téléphone",IF(AND(AA59&lt;&gt;"",COUNTIFS($AA$9:$AA$678,AA59)&gt;1),"Site web","")))</x:f>
      </x:c>
      <x:c r="J59" s="33" t="str">
        <x:v>transport motorisé roulant</x:v>
      </x:c>
      <x:c r="K59" s="33" t="str">
        <x:v>Automobile</x:v>
      </x:c>
      <x:c r="L59" s="33" t="str">
        <x:v>Concessionnaires automobiles</x:v>
      </x:c>
      <x:c r="M59" s="33" t="str">
        <x:v>Matam</x:v>
      </x:c>
      <x:c r="N59" s="33" t="str"/>
      <x:c r="O59" s="33" t="str">
        <x:v>en face lycée matam (1er mars) Corniche Sud</x:v>
      </x:c>
      <x:c r="P59" s="33" t="str">
        <x:v>+224625878941</x:v>
      </x:c>
      <x:c r="Q59" s="33" t="str"/>
      <x:c r="R59" s="33" t="str"/>
      <x:c r="S59" s="33" t="str"/>
      <x:c r="T59" s="35" t="n">
        <x:v>9.5479428</x:v>
      </x:c>
      <x:c r="U59" s="35" t="n">
        <x:v>-13.6540822</x:v>
      </x:c>
      <x:c r="V59" s="33" t="str">
        <x:v>https://www.openstreetmap.org/node/8628796814</x:v>
      </x:c>
      <x:c r="W59" s="33" t="str">
        <x:v>node/8628796814</x:v>
      </x:c>
      <x:c r="X59" s="33" t="str">
        <x:v>review_required</x:v>
      </x:c>
      <x:c r="Y59" s="33" t="str">
        <x:v>transport motorise roulant|matam</x:v>
      </x:c>
      <x:c r="Z59" s="33" t="str">
        <x:v>224625878941</x:v>
      </x:c>
      <x:c r="AA59" s="33" t="str"/>
    </x:row>
    <x:row r="60">
      <x:c r="A60" s="30" t="str">
        <x:v>À vérifier</x:v>
      </x:c>
      <x:c r="B60" s="30" t="str"/>
      <x:c r="C60" s="31"/>
      <x:c r="D60" s="30" t="str">
        <x:v>Non vérifié</x:v>
      </x:c>
      <x:c r="E60" s="30" t="str"/>
      <x:c r="F60" s="30" t="str"/>
      <x:c r="G60" s="32" t="str"/>
      <x:c r="H60" s="33" t="str">
        <x:f>IF(I60&lt;&gt;"","Doublon possible","")</x:f>
      </x:c>
      <x:c r="I60" s="33" t="str">
        <x:f>IF(COUNTIFS($Y$9:$Y$678,Y60)&gt;1,"Nom + ville",IF(AND(Z60&lt;&gt;"",COUNTIFS($Z$9:$Z$678,Z60)&gt;1),"Téléphone",IF(AND(AA60&lt;&gt;"",COUNTIFS($AA$9:$AA$678,AA60)&gt;1),"Site web","")))</x:f>
      </x:c>
      <x:c r="J60" s="33" t="str">
        <x:v>API-Sarl (Agence de Prestation Informatique)</x:v>
      </x:c>
      <x:c r="K60" s="33" t="str">
        <x:v>Autres</x:v>
      </x:c>
      <x:c r="L60" s="33" t="str">
        <x:v>Autres services</x:v>
      </x:c>
      <x:c r="M60" s="33" t="str">
        <x:v>Conakry (à vérifier)</x:v>
      </x:c>
      <x:c r="N60" s="33" t="str"/>
      <x:c r="O60" s="33" t="str"/>
      <x:c r="P60" s="33" t="str">
        <x:v>625314690</x:v>
      </x:c>
      <x:c r="Q60" s="33" t="str"/>
      <x:c r="R60" s="33" t="str"/>
      <x:c r="S60" s="33" t="str"/>
      <x:c r="T60" s="35" t="n">
        <x:v>9.5813028</x:v>
      </x:c>
      <x:c r="U60" s="35" t="n">
        <x:v>-13.6132204</x:v>
      </x:c>
      <x:c r="V60" s="33" t="str">
        <x:v>https://www.openstreetmap.org/node/6918616412</x:v>
      </x:c>
      <x:c r="W60" s="33" t="str">
        <x:v>node/6918616412</x:v>
      </x:c>
      <x:c r="X60" s="33" t="str">
        <x:v>review_required</x:v>
      </x:c>
      <x:c r="Y60" s="33" t="str">
        <x:v>api sarl agence de prestation informatique|conakry a verifier</x:v>
      </x:c>
      <x:c r="Z60" s="33" t="str">
        <x:v>224625314690</x:v>
      </x:c>
      <x:c r="AA60" s="33" t="str"/>
    </x:row>
    <x:row r="61">
      <x:c r="A61" s="30" t="str">
        <x:v>À vérifier</x:v>
      </x:c>
      <x:c r="B61" s="30" t="str"/>
      <x:c r="C61" s="31"/>
      <x:c r="D61" s="30" t="str">
        <x:v>Non vérifié</x:v>
      </x:c>
      <x:c r="E61" s="30" t="str"/>
      <x:c r="F61" s="30" t="str"/>
      <x:c r="G61" s="32" t="str"/>
      <x:c r="H61" s="33" t="str">
        <x:f>IF(I61&lt;&gt;"","Doublon possible","")</x:f>
      </x:c>
      <x:c r="I61" s="33" t="str">
        <x:f>IF(COUNTIFS($Y$9:$Y$678,Y61)&gt;1,"Nom + ville",IF(AND(Z61&lt;&gt;"",COUNTIFS($Z$9:$Z$678,Z61)&gt;1),"Téléphone",IF(AND(AA61&lt;&gt;"",COUNTIFS($AA$9:$AA$678,AA61)&gt;1),"Site web","")))</x:f>
      </x:c>
      <x:c r="J61" s="33" t="str">
        <x:v>Auto école Yes</x:v>
      </x:c>
      <x:c r="K61" s="33" t="str">
        <x:v>Autres</x:v>
      </x:c>
      <x:c r="L61" s="33" t="str">
        <x:v>Autres services</x:v>
      </x:c>
      <x:c r="M61" s="33" t="str">
        <x:v>Conakry (à vérifier)</x:v>
      </x:c>
      <x:c r="N61" s="33" t="str"/>
      <x:c r="O61" s="33" t="str"/>
      <x:c r="P61" s="33" t="str">
        <x:v>+224629360707</x:v>
      </x:c>
      <x:c r="Q61" s="33" t="str"/>
      <x:c r="R61" s="33" t="str"/>
      <x:c r="S61" s="33" t="str"/>
      <x:c r="T61" s="35" t="n">
        <x:v>9.6523057</x:v>
      </x:c>
      <x:c r="U61" s="35" t="n">
        <x:v>-13.6012976</x:v>
      </x:c>
      <x:c r="V61" s="33" t="str">
        <x:v>https://www.openstreetmap.org/node/7448444241</x:v>
      </x:c>
      <x:c r="W61" s="33" t="str">
        <x:v>node/7448444241</x:v>
      </x:c>
      <x:c r="X61" s="33" t="str">
        <x:v>review_required</x:v>
      </x:c>
      <x:c r="Y61" s="33" t="str">
        <x:v>auto ecole yes|conakry a verifier</x:v>
      </x:c>
      <x:c r="Z61" s="33" t="str">
        <x:v>224629360707</x:v>
      </x:c>
      <x:c r="AA61" s="33" t="str"/>
    </x:row>
    <x:row r="62">
      <x:c r="A62" s="30" t="str">
        <x:v>À vérifier</x:v>
      </x:c>
      <x:c r="B62" s="30" t="str"/>
      <x:c r="C62" s="31"/>
      <x:c r="D62" s="30" t="str">
        <x:v>Non vérifié</x:v>
      </x:c>
      <x:c r="E62" s="30" t="str"/>
      <x:c r="F62" s="30" t="str"/>
      <x:c r="G62" s="32" t="str"/>
      <x:c r="H62" s="33" t="str">
        <x:f>IF(I62&lt;&gt;"","Doublon possible","")</x:f>
      </x:c>
      <x:c r="I62" s="33" t="str">
        <x:f>IF(COUNTIFS($Y$9:$Y$678,Y62)&gt;1,"Nom + ville",IF(AND(Z62&lt;&gt;"",COUNTIFS($Z$9:$Z$678,Z62)&gt;1),"Téléphone",IF(AND(AA62&lt;&gt;"",COUNTIFS($AA$9:$AA$678,AA62)&gt;1),"Site web","")))</x:f>
      </x:c>
      <x:c r="J62" s="33" t="str">
        <x:v>Cabinet CAPREFOC</x:v>
      </x:c>
      <x:c r="K62" s="33" t="str">
        <x:v>Autres</x:v>
      </x:c>
      <x:c r="L62" s="33" t="str">
        <x:v>Autres services</x:v>
      </x:c>
      <x:c r="M62" s="33" t="str">
        <x:v>Conakry (à vérifier)</x:v>
      </x:c>
      <x:c r="N62" s="33" t="str"/>
      <x:c r="O62" s="33" t="str"/>
      <x:c r="P62" s="33" t="str">
        <x:v>622091771 / 660961641</x:v>
      </x:c>
      <x:c r="Q62" s="33" t="str"/>
      <x:c r="R62" s="33" t="str"/>
      <x:c r="S62" s="33" t="str"/>
      <x:c r="T62" s="35" t="n">
        <x:v>9.5825471</x:v>
      </x:c>
      <x:c r="U62" s="35" t="n">
        <x:v>-13.6113991</x:v>
      </x:c>
      <x:c r="V62" s="33" t="str">
        <x:v>https://www.openstreetmap.org/node/6918596506</x:v>
      </x:c>
      <x:c r="W62" s="33" t="str">
        <x:v>node/6918596506</x:v>
      </x:c>
      <x:c r="X62" s="33" t="str">
        <x:v>review_required</x:v>
      </x:c>
      <x:c r="Y62" s="33" t="str">
        <x:v>cabinet caprefoc|conakry a verifier</x:v>
      </x:c>
      <x:c r="Z62" s="33" t="str">
        <x:v>622091771660961641</x:v>
      </x:c>
      <x:c r="AA62" s="33" t="str"/>
    </x:row>
    <x:row r="63">
      <x:c r="A63" s="30" t="str">
        <x:v>À vérifier</x:v>
      </x:c>
      <x:c r="B63" s="30" t="str"/>
      <x:c r="C63" s="31"/>
      <x:c r="D63" s="30" t="str">
        <x:v>Non vérifié</x:v>
      </x:c>
      <x:c r="E63" s="30" t="str"/>
      <x:c r="F63" s="30" t="str"/>
      <x:c r="G63" s="32" t="str"/>
      <x:c r="H63" s="33" t="str">
        <x:f>IF(I63&lt;&gt;"","Doublon possible","")</x:f>
      </x:c>
      <x:c r="I63" s="33" t="str">
        <x:f>IF(COUNTIFS($Y$9:$Y$678,Y63)&gt;1,"Nom + ville",IF(AND(Z63&lt;&gt;"",COUNTIFS($Z$9:$Z$678,Z63)&gt;1),"Téléphone",IF(AND(AA63&lt;&gt;"",COUNTIFS($AA$9:$AA$678,AA63)&gt;1),"Site web","")))</x:f>
      </x:c>
      <x:c r="J63" s="33" t="str">
        <x:v>Cabinet CEFORMA</x:v>
      </x:c>
      <x:c r="K63" s="33" t="str">
        <x:v>Autres</x:v>
      </x:c>
      <x:c r="L63" s="33" t="str">
        <x:v>Autres services</x:v>
      </x:c>
      <x:c r="M63" s="33" t="str">
        <x:v>Conakry (à vérifier)</x:v>
      </x:c>
      <x:c r="N63" s="33" t="str"/>
      <x:c r="O63" s="33" t="str"/>
      <x:c r="P63" s="33" t="str">
        <x:v>664996300 / 657243324</x:v>
      </x:c>
      <x:c r="Q63" s="33" t="str"/>
      <x:c r="R63" s="33" t="str"/>
      <x:c r="S63" s="33" t="str"/>
      <x:c r="T63" s="35" t="n">
        <x:v>9.6062528</x:v>
      </x:c>
      <x:c r="U63" s="35" t="n">
        <x:v>-13.5987054</x:v>
      </x:c>
      <x:c r="V63" s="33" t="str">
        <x:v>https://www.openstreetmap.org/node/6918622499</x:v>
      </x:c>
      <x:c r="W63" s="33" t="str">
        <x:v>node/6918622499</x:v>
      </x:c>
      <x:c r="X63" s="33" t="str">
        <x:v>review_required</x:v>
      </x:c>
      <x:c r="Y63" s="33" t="str">
        <x:v>cabinet ceforma|conakry a verifier</x:v>
      </x:c>
      <x:c r="Z63" s="33" t="str">
        <x:v>664996300657243324</x:v>
      </x:c>
      <x:c r="AA63" s="33" t="str"/>
    </x:row>
    <x:row r="64">
      <x:c r="A64" s="30" t="str">
        <x:v>À vérifier</x:v>
      </x:c>
      <x:c r="B64" s="30" t="str"/>
      <x:c r="C64" s="31"/>
      <x:c r="D64" s="30" t="str">
        <x:v>Non vérifié</x:v>
      </x:c>
      <x:c r="E64" s="30" t="str"/>
      <x:c r="F64" s="30" t="str"/>
      <x:c r="G64" s="32" t="str"/>
      <x:c r="H64" s="33" t="str">
        <x:f>IF(I64&lt;&gt;"","Doublon possible","")</x:f>
      </x:c>
      <x:c r="I64" s="33" t="str">
        <x:f>IF(COUNTIFS($Y$9:$Y$678,Y64)&gt;1,"Nom + ville",IF(AND(Z64&lt;&gt;"",COUNTIFS($Z$9:$Z$678,Z64)&gt;1),"Téléphone",IF(AND(AA64&lt;&gt;"",COUNTIFS($AA$9:$AA$678,AA64)&gt;1),"Site web","")))</x:f>
      </x:c>
      <x:c r="J64" s="33" t="str">
        <x:v>Cabinet d'études de formation et de renforcement des capacités</x:v>
      </x:c>
      <x:c r="K64" s="33" t="str">
        <x:v>Autres</x:v>
      </x:c>
      <x:c r="L64" s="33" t="str">
        <x:v>Autres services</x:v>
      </x:c>
      <x:c r="M64" s="33" t="str">
        <x:v>Conakry (à vérifier)</x:v>
      </x:c>
      <x:c r="N64" s="33" t="str"/>
      <x:c r="O64" s="33" t="str"/>
      <x:c r="P64" s="33" t="str">
        <x:v>664233096 / 621938040</x:v>
      </x:c>
      <x:c r="Q64" s="33" t="str"/>
      <x:c r="R64" s="33" t="str">
        <x:v>ceforc-guinee.org</x:v>
      </x:c>
      <x:c r="S64" s="33" t="str"/>
      <x:c r="T64" s="35" t="n">
        <x:v>9.5718174</x:v>
      </x:c>
      <x:c r="U64" s="35" t="n">
        <x:v>-13.6271569</x:v>
      </x:c>
      <x:c r="V64" s="33" t="str">
        <x:v>https://www.openstreetmap.org/node/6918589361</x:v>
      </x:c>
      <x:c r="W64" s="33" t="str">
        <x:v>node/6918589361</x:v>
      </x:c>
      <x:c r="X64" s="33" t="str">
        <x:v>review_required</x:v>
      </x:c>
      <x:c r="Y64" s="33" t="str">
        <x:v>cabinet d etudes de formation et de renforcement des capacites|conakry a verifier</x:v>
      </x:c>
      <x:c r="Z64" s="33" t="str">
        <x:v>664233096621938040</x:v>
      </x:c>
      <x:c r="AA64" s="33" t="str">
        <x:v>ceforc-guinee.org</x:v>
      </x:c>
    </x:row>
    <x:row r="65">
      <x:c r="A65" s="30" t="str">
        <x:v>À vérifier</x:v>
      </x:c>
      <x:c r="B65" s="30" t="str"/>
      <x:c r="C65" s="31"/>
      <x:c r="D65" s="30" t="str">
        <x:v>Non vérifié</x:v>
      </x:c>
      <x:c r="E65" s="30" t="str"/>
      <x:c r="F65" s="30" t="str"/>
      <x:c r="G65" s="32" t="str"/>
      <x:c r="H65" s="33" t="str">
        <x:f>IF(I65&lt;&gt;"","Doublon possible","")</x:f>
        <x:v>Doublon possible</x:v>
      </x:c>
      <x:c r="I65" s="33" t="str">
        <x:f>IF(COUNTIFS($Y$9:$Y$678,Y65)&gt;1,"Nom + ville",IF(AND(Z65&lt;&gt;"",COUNTIFS($Z$9:$Z$678,Z65)&gt;1),"Téléphone",IF(AND(AA65&lt;&gt;"",COUNTIFS($AA$9:$AA$678,AA65)&gt;1),"Site web","")))</x:f>
        <x:v>Site web</x:v>
      </x:c>
      <x:c r="J65" s="33" t="str">
        <x:v>Cabinet de Formation et Assistance</x:v>
      </x:c>
      <x:c r="K65" s="33" t="str">
        <x:v>Autres</x:v>
      </x:c>
      <x:c r="L65" s="33" t="str">
        <x:v>Autres services</x:v>
      </x:c>
      <x:c r="M65" s="33" t="str">
        <x:v>Conakry (à vérifier)</x:v>
      </x:c>
      <x:c r="N65" s="33" t="str"/>
      <x:c r="O65" s="33" t="str"/>
      <x:c r="P65" s="33" t="str">
        <x:v>621127152 / 669160747</x:v>
      </x:c>
      <x:c r="Q65" s="33" t="str"/>
      <x:c r="R65" s="33" t="str">
        <x:v>skabconsultingservice@gmail.com</x:v>
      </x:c>
      <x:c r="S65" s="33" t="str"/>
      <x:c r="T65" s="35" t="n">
        <x:v>9.6286285</x:v>
      </x:c>
      <x:c r="U65" s="35" t="n">
        <x:v>-13.583261</x:v>
      </x:c>
      <x:c r="V65" s="33" t="str">
        <x:v>https://www.openstreetmap.org/node/6898478894</x:v>
      </x:c>
      <x:c r="W65" s="33" t="str">
        <x:v>node/6898478894</x:v>
      </x:c>
      <x:c r="X65" s="33" t="str">
        <x:v>review_required</x:v>
      </x:c>
      <x:c r="Y65" s="33" t="str">
        <x:v>cabinet de formation et assistance|conakry a verifier</x:v>
      </x:c>
      <x:c r="Z65" s="33" t="str">
        <x:v>621127152669160747</x:v>
      </x:c>
      <x:c r="AA65" s="33" t="str">
        <x:v>gmail.com</x:v>
      </x:c>
    </x:row>
    <x:row r="66">
      <x:c r="A66" s="30" t="str">
        <x:v>À vérifier</x:v>
      </x:c>
      <x:c r="B66" s="30" t="str"/>
      <x:c r="C66" s="31"/>
      <x:c r="D66" s="30" t="str">
        <x:v>Non vérifié</x:v>
      </x:c>
      <x:c r="E66" s="30" t="str"/>
      <x:c r="F66" s="30" t="str"/>
      <x:c r="G66" s="32" t="str"/>
      <x:c r="H66" s="33" t="str">
        <x:f>IF(I66&lt;&gt;"","Doublon possible","")</x:f>
      </x:c>
      <x:c r="I66" s="33" t="str">
        <x:f>IF(COUNTIFS($Y$9:$Y$678,Y66)&gt;1,"Nom + ville",IF(AND(Z66&lt;&gt;"",COUNTIFS($Z$9:$Z$678,Z66)&gt;1),"Téléphone",IF(AND(AA66&lt;&gt;"",COUNTIFS($AA$9:$AA$678,AA66)&gt;1),"Site web","")))</x:f>
      </x:c>
      <x:c r="J66" s="33" t="str">
        <x:v>Cabinet vétérinaire</x:v>
      </x:c>
      <x:c r="K66" s="33" t="str">
        <x:v>Autres</x:v>
      </x:c>
      <x:c r="L66" s="33" t="str">
        <x:v>Autres services</x:v>
      </x:c>
      <x:c r="M66" s="33" t="str">
        <x:v>Conakry (à vérifier)</x:v>
      </x:c>
      <x:c r="N66" s="33" t="str"/>
      <x:c r="O66" s="33" t="str"/>
      <x:c r="P66" s="33" t="str">
        <x:v>+224628565263</x:v>
      </x:c>
      <x:c r="Q66" s="33" t="str"/>
      <x:c r="R66" s="33" t="str"/>
      <x:c r="S66" s="33" t="str"/>
      <x:c r="T66" s="35" t="n">
        <x:v>9.5998784</x:v>
      </x:c>
      <x:c r="U66" s="35" t="n">
        <x:v>-13.603298</x:v>
      </x:c>
      <x:c r="V66" s="33" t="str">
        <x:v>https://www.openstreetmap.org/node/5603202973</x:v>
      </x:c>
      <x:c r="W66" s="33" t="str">
        <x:v>node/5603202973</x:v>
      </x:c>
      <x:c r="X66" s="33" t="str">
        <x:v>review_required</x:v>
      </x:c>
      <x:c r="Y66" s="33" t="str">
        <x:v>cabinet veterinaire|conakry a verifier</x:v>
      </x:c>
      <x:c r="Z66" s="33" t="str">
        <x:v>224628565263</x:v>
      </x:c>
      <x:c r="AA66" s="33" t="str"/>
    </x:row>
    <x:row r="67">
      <x:c r="A67" s="30" t="str">
        <x:v>À vérifier</x:v>
      </x:c>
      <x:c r="B67" s="30" t="str"/>
      <x:c r="C67" s="31"/>
      <x:c r="D67" s="30" t="str">
        <x:v>Non vérifié</x:v>
      </x:c>
      <x:c r="E67" s="30" t="str"/>
      <x:c r="F67" s="30" t="str"/>
      <x:c r="G67" s="32" t="str"/>
      <x:c r="H67" s="33" t="str">
        <x:f>IF(I67&lt;&gt;"","Doublon possible","")</x:f>
      </x:c>
      <x:c r="I67" s="33" t="str">
        <x:f>IF(COUNTIFS($Y$9:$Y$678,Y67)&gt;1,"Nom + ville",IF(AND(Z67&lt;&gt;"",COUNTIFS($Z$9:$Z$678,Z67)&gt;1),"Téléphone",IF(AND(AA67&lt;&gt;"",COUNTIFS($AA$9:$AA$678,AA67)&gt;1),"Site web","")))</x:f>
      </x:c>
      <x:c r="J67" s="33" t="str">
        <x:v>Centre de formation en hygiène santé sécurité au travail (HSE)</x:v>
      </x:c>
      <x:c r="K67" s="33" t="str">
        <x:v>Autres</x:v>
      </x:c>
      <x:c r="L67" s="33" t="str">
        <x:v>Autres services</x:v>
      </x:c>
      <x:c r="M67" s="33" t="str">
        <x:v>Conakry (à vérifier)</x:v>
      </x:c>
      <x:c r="N67" s="33" t="str"/>
      <x:c r="O67" s="33" t="str"/>
      <x:c r="P67" s="33" t="str">
        <x:v>625505029</x:v>
      </x:c>
      <x:c r="Q67" s="33" t="str"/>
      <x:c r="R67" s="33" t="str"/>
      <x:c r="S67" s="33" t="str"/>
      <x:c r="T67" s="35" t="n">
        <x:v>9.6137967</x:v>
      </x:c>
      <x:c r="U67" s="35" t="n">
        <x:v>-13.5898715</x:v>
      </x:c>
      <x:c r="V67" s="33" t="str">
        <x:v>https://www.openstreetmap.org/node/6918584635</x:v>
      </x:c>
      <x:c r="W67" s="33" t="str">
        <x:v>node/6918584635</x:v>
      </x:c>
      <x:c r="X67" s="33" t="str">
        <x:v>review_required</x:v>
      </x:c>
      <x:c r="Y67" s="33" t="str">
        <x:v>centre de formation en hygiene sante securite au travail hse|conakry a verifier</x:v>
      </x:c>
      <x:c r="Z67" s="33" t="str">
        <x:v>224625505029</x:v>
      </x:c>
      <x:c r="AA67" s="33" t="str"/>
    </x:row>
    <x:row r="68">
      <x:c r="A68" s="30" t="str">
        <x:v>À vérifier</x:v>
      </x:c>
      <x:c r="B68" s="30" t="str"/>
      <x:c r="C68" s="31"/>
      <x:c r="D68" s="30" t="str">
        <x:v>Non vérifié</x:v>
      </x:c>
      <x:c r="E68" s="30" t="str"/>
      <x:c r="F68" s="30" t="str"/>
      <x:c r="G68" s="32" t="str"/>
      <x:c r="H68" s="33" t="str">
        <x:f>IF(I68&lt;&gt;"","Doublon possible","")</x:f>
      </x:c>
      <x:c r="I68" s="33" t="str">
        <x:f>IF(COUNTIFS($Y$9:$Y$678,Y68)&gt;1,"Nom + ville",IF(AND(Z68&lt;&gt;"",COUNTIFS($Z$9:$Z$678,Z68)&gt;1),"Téléphone",IF(AND(AA68&lt;&gt;"",COUNTIFS($AA$9:$AA$678,AA68)&gt;1),"Site web","")))</x:f>
      </x:c>
      <x:c r="J68" s="33" t="str">
        <x:v>Centre de formation Fadiga couture</x:v>
      </x:c>
      <x:c r="K68" s="33" t="str">
        <x:v>Autres</x:v>
      </x:c>
      <x:c r="L68" s="33" t="str">
        <x:v>Autres services</x:v>
      </x:c>
      <x:c r="M68" s="33" t="str">
        <x:v>Conakry (à vérifier)</x:v>
      </x:c>
      <x:c r="N68" s="33" t="str"/>
      <x:c r="O68" s="33" t="str"/>
      <x:c r="P68" s="33" t="str">
        <x:v>628632476 / 657202663</x:v>
      </x:c>
      <x:c r="Q68" s="33" t="str"/>
      <x:c r="R68" s="33" t="str"/>
      <x:c r="S68" s="33" t="str"/>
      <x:c r="T68" s="35" t="n">
        <x:v>9.6221347</x:v>
      </x:c>
      <x:c r="U68" s="35" t="n">
        <x:v>-13.5820254</x:v>
      </x:c>
      <x:c r="V68" s="33" t="str">
        <x:v>https://www.openstreetmap.org/node/6918548212</x:v>
      </x:c>
      <x:c r="W68" s="33" t="str">
        <x:v>node/6918548212</x:v>
      </x:c>
      <x:c r="X68" s="33" t="str">
        <x:v>review_required</x:v>
      </x:c>
      <x:c r="Y68" s="33" t="str">
        <x:v>centre de formation fadiga couture|conakry a verifier</x:v>
      </x:c>
      <x:c r="Z68" s="33" t="str">
        <x:v>628632476657202663</x:v>
      </x:c>
      <x:c r="AA68" s="33" t="str"/>
    </x:row>
    <x:row r="69">
      <x:c r="A69" s="30" t="str">
        <x:v>À vérifier</x:v>
      </x:c>
      <x:c r="B69" s="30" t="str"/>
      <x:c r="C69" s="31"/>
      <x:c r="D69" s="30" t="str">
        <x:v>Non vérifié</x:v>
      </x:c>
      <x:c r="E69" s="30" t="str"/>
      <x:c r="F69" s="30" t="str"/>
      <x:c r="G69" s="32" t="str"/>
      <x:c r="H69" s="33" t="str">
        <x:f>IF(I69&lt;&gt;"","Doublon possible","")</x:f>
      </x:c>
      <x:c r="I69" s="33" t="str">
        <x:f>IF(COUNTIFS($Y$9:$Y$678,Y69)&gt;1,"Nom + ville",IF(AND(Z69&lt;&gt;"",COUNTIFS($Z$9:$Z$678,Z69)&gt;1),"Téléphone",IF(AND(AA69&lt;&gt;"",COUNTIFS($AA$9:$AA$678,AA69)&gt;1),"Site web","")))</x:f>
      </x:c>
      <x:c r="J69" s="33" t="str">
        <x:v>Centre de formation professionnelle et consultation privée</x:v>
      </x:c>
      <x:c r="K69" s="33" t="str">
        <x:v>Autres</x:v>
      </x:c>
      <x:c r="L69" s="33" t="str">
        <x:v>Autres services</x:v>
      </x:c>
      <x:c r="M69" s="33" t="str">
        <x:v>Conakry (à vérifier)</x:v>
      </x:c>
      <x:c r="N69" s="33" t="str"/>
      <x:c r="O69" s="33" t="str"/>
      <x:c r="P69" s="33" t="str">
        <x:v>620405824</x:v>
      </x:c>
      <x:c r="Q69" s="33" t="str"/>
      <x:c r="R69" s="33" t="str">
        <x:v>www.crisse-stat-guinee.org</x:v>
      </x:c>
      <x:c r="S69" s="33" t="str"/>
      <x:c r="T69" s="35" t="n">
        <x:v>9.5680725</x:v>
      </x:c>
      <x:c r="U69" s="35" t="n">
        <x:v>-13.6406416</x:v>
      </x:c>
      <x:c r="V69" s="33" t="str">
        <x:v>https://www.openstreetmap.org/node/6918566088</x:v>
      </x:c>
      <x:c r="W69" s="33" t="str">
        <x:v>node/6918566088</x:v>
      </x:c>
      <x:c r="X69" s="33" t="str">
        <x:v>review_required</x:v>
      </x:c>
      <x:c r="Y69" s="33" t="str">
        <x:v>centre de formation professionnelle et consultation privee|conakry a verifier</x:v>
      </x:c>
      <x:c r="Z69" s="33" t="str">
        <x:v>224620405824</x:v>
      </x:c>
      <x:c r="AA69" s="33" t="str">
        <x:v>crisse-stat-guinee.org</x:v>
      </x:c>
    </x:row>
    <x:row r="70">
      <x:c r="A70" s="30" t="str">
        <x:v>À vérifier</x:v>
      </x:c>
      <x:c r="B70" s="30" t="str"/>
      <x:c r="C70" s="31"/>
      <x:c r="D70" s="30" t="str">
        <x:v>Non vérifié</x:v>
      </x:c>
      <x:c r="E70" s="30" t="str"/>
      <x:c r="F70" s="30" t="str"/>
      <x:c r="G70" s="32" t="str"/>
      <x:c r="H70" s="33" t="str">
        <x:f>IF(I70&lt;&gt;"","Doublon possible","")</x:f>
      </x:c>
      <x:c r="I70" s="33" t="str">
        <x:f>IF(COUNTIFS($Y$9:$Y$678,Y70)&gt;1,"Nom + ville",IF(AND(Z70&lt;&gt;"",COUNTIFS($Z$9:$Z$678,Z70)&gt;1),"Téléphone",IF(AND(AA70&lt;&gt;"",COUNTIFS($AA$9:$AA$678,AA70)&gt;1),"Site web","")))</x:f>
      </x:c>
      <x:c r="J70" s="33" t="str">
        <x:v>Centre de formation professionnelle pour le développement durable</x:v>
      </x:c>
      <x:c r="K70" s="33" t="str">
        <x:v>Autres</x:v>
      </x:c>
      <x:c r="L70" s="33" t="str">
        <x:v>Autres services</x:v>
      </x:c>
      <x:c r="M70" s="33" t="str">
        <x:v>Conakry (à vérifier)</x:v>
      </x:c>
      <x:c r="N70" s="33" t="str"/>
      <x:c r="O70" s="33" t="str"/>
      <x:c r="P70" s="33" t="str">
        <x:v>622335998</x:v>
      </x:c>
      <x:c r="Q70" s="33" t="str"/>
      <x:c r="R70" s="33" t="str">
        <x:v>fayallacamara@yahoo.com</x:v>
      </x:c>
      <x:c r="S70" s="33" t="str"/>
      <x:c r="T70" s="35" t="n">
        <x:v>9.5800621</x:v>
      </x:c>
      <x:c r="U70" s="35" t="n">
        <x:v>-13.6243773</x:v>
      </x:c>
      <x:c r="V70" s="33" t="str">
        <x:v>https://www.openstreetmap.org/node/6918623415</x:v>
      </x:c>
      <x:c r="W70" s="33" t="str">
        <x:v>node/6918623415</x:v>
      </x:c>
      <x:c r="X70" s="33" t="str">
        <x:v>review_required</x:v>
      </x:c>
      <x:c r="Y70" s="33" t="str">
        <x:v>centre de formation professionnelle pour le developpement durable|conakry a verifier</x:v>
      </x:c>
      <x:c r="Z70" s="33" t="str">
        <x:v>224622335998</x:v>
      </x:c>
      <x:c r="AA70" s="33" t="str">
        <x:v>yahoo.com</x:v>
      </x:c>
    </x:row>
    <x:row r="71">
      <x:c r="A71" s="30" t="str">
        <x:v>À vérifier</x:v>
      </x:c>
      <x:c r="B71" s="30" t="str"/>
      <x:c r="C71" s="31"/>
      <x:c r="D71" s="30" t="str">
        <x:v>Non vérifié</x:v>
      </x:c>
      <x:c r="E71" s="30" t="str"/>
      <x:c r="F71" s="30" t="str"/>
      <x:c r="G71" s="32" t="str"/>
      <x:c r="H71" s="33" t="str">
        <x:f>IF(I71&lt;&gt;"","Doublon possible","")</x:f>
      </x:c>
      <x:c r="I71" s="33" t="str">
        <x:f>IF(COUNTIFS($Y$9:$Y$678,Y71)&gt;1,"Nom + ville",IF(AND(Z71&lt;&gt;"",COUNTIFS($Z$9:$Z$678,Z71)&gt;1),"Téléphone",IF(AND(AA71&lt;&gt;"",COUNTIFS($AA$9:$AA$678,AA71)&gt;1),"Site web","")))</x:f>
      </x:c>
      <x:c r="J71" s="33" t="str">
        <x:v>Centre Multifonctionnelle_Matoto</x:v>
      </x:c>
      <x:c r="K71" s="33" t="str">
        <x:v>Autres</x:v>
      </x:c>
      <x:c r="L71" s="33" t="str">
        <x:v>Autres services</x:v>
      </x:c>
      <x:c r="M71" s="33" t="str">
        <x:v>Conakry (à vérifier)</x:v>
      </x:c>
      <x:c r="N71" s="33" t="str"/>
      <x:c r="O71" s="33" t="str"/>
      <x:c r="P71" s="33" t="str">
        <x:v>622345566</x:v>
      </x:c>
      <x:c r="Q71" s="33" t="str"/>
      <x:c r="R71" s="33" t="str"/>
      <x:c r="S71" s="33" t="str"/>
      <x:c r="T71" s="35" t="n">
        <x:v>9.6127234</x:v>
      </x:c>
      <x:c r="U71" s="35" t="n">
        <x:v>-13.5963391</x:v>
      </x:c>
      <x:c r="V71" s="33" t="str">
        <x:v>https://www.openstreetmap.org/node/6898473663</x:v>
      </x:c>
      <x:c r="W71" s="33" t="str">
        <x:v>node/6898473663</x:v>
      </x:c>
      <x:c r="X71" s="33" t="str">
        <x:v>review_required</x:v>
      </x:c>
      <x:c r="Y71" s="33" t="str">
        <x:v>centre multifonctionnelle matoto|conakry a verifier</x:v>
      </x:c>
      <x:c r="Z71" s="33" t="str">
        <x:v>224622345566</x:v>
      </x:c>
      <x:c r="AA71" s="33" t="str"/>
    </x:row>
    <x:row r="72">
      <x:c r="A72" s="30" t="str">
        <x:v>À vérifier</x:v>
      </x:c>
      <x:c r="B72" s="30" t="str"/>
      <x:c r="C72" s="31"/>
      <x:c r="D72" s="30" t="str">
        <x:v>Non vérifié</x:v>
      </x:c>
      <x:c r="E72" s="30" t="str"/>
      <x:c r="F72" s="30" t="str"/>
      <x:c r="G72" s="32" t="str"/>
      <x:c r="H72" s="33" t="str">
        <x:f>IF(I72&lt;&gt;"","Doublon possible","")</x:f>
      </x:c>
      <x:c r="I72" s="33" t="str">
        <x:f>IF(COUNTIFS($Y$9:$Y$678,Y72)&gt;1,"Nom + ville",IF(AND(Z72&lt;&gt;"",COUNTIFS($Z$9:$Z$678,Z72)&gt;1),"Téléphone",IF(AND(AA72&lt;&gt;"",COUNTIFS($AA$9:$AA$678,AA72)&gt;1),"Site web","")))</x:f>
      </x:c>
      <x:c r="J72" s="33" t="str">
        <x:v>Chez Ami Couture</x:v>
      </x:c>
      <x:c r="K72" s="33" t="str">
        <x:v>Autres</x:v>
      </x:c>
      <x:c r="L72" s="33" t="str">
        <x:v>Autres services</x:v>
      </x:c>
      <x:c r="M72" s="33" t="str">
        <x:v>Conakry (à vérifier)</x:v>
      </x:c>
      <x:c r="N72" s="33" t="str"/>
      <x:c r="O72" s="33" t="str"/>
      <x:c r="P72" s="33" t="str">
        <x:v>622987569 /655881347</x:v>
      </x:c>
      <x:c r="Q72" s="33" t="str"/>
      <x:c r="R72" s="33" t="str"/>
      <x:c r="S72" s="33" t="str"/>
      <x:c r="T72" s="35" t="n">
        <x:v>9.6253696</x:v>
      </x:c>
      <x:c r="U72" s="35" t="n">
        <x:v>-13.5804688</x:v>
      </x:c>
      <x:c r="V72" s="33" t="str">
        <x:v>https://www.openstreetmap.org/node/6898422537</x:v>
      </x:c>
      <x:c r="W72" s="33" t="str">
        <x:v>node/6898422537</x:v>
      </x:c>
      <x:c r="X72" s="33" t="str">
        <x:v>review_required</x:v>
      </x:c>
      <x:c r="Y72" s="33" t="str">
        <x:v>chez ami couture|conakry a verifier</x:v>
      </x:c>
      <x:c r="Z72" s="33" t="str">
        <x:v>622987569655881347</x:v>
      </x:c>
      <x:c r="AA72" s="33" t="str"/>
    </x:row>
    <x:row r="73">
      <x:c r="A73" s="30" t="str">
        <x:v>À vérifier</x:v>
      </x:c>
      <x:c r="B73" s="30" t="str"/>
      <x:c r="C73" s="31"/>
      <x:c r="D73" s="30" t="str">
        <x:v>Non vérifié</x:v>
      </x:c>
      <x:c r="E73" s="30" t="str"/>
      <x:c r="F73" s="30" t="str"/>
      <x:c r="G73" s="32" t="str"/>
      <x:c r="H73" s="33" t="str">
        <x:f>IF(I73&lt;&gt;"","Doublon possible","")</x:f>
      </x:c>
      <x:c r="I73" s="33" t="str">
        <x:f>IF(COUNTIFS($Y$9:$Y$678,Y73)&gt;1,"Nom + ville",IF(AND(Z73&lt;&gt;"",COUNTIFS($Z$9:$Z$678,Z73)&gt;1),"Téléphone",IF(AND(AA73&lt;&gt;"",COUNTIFS($AA$9:$AA$678,AA73)&gt;1),"Site web","")))</x:f>
      </x:c>
      <x:c r="J73" s="33" t="str">
        <x:v>cité journalistes</x:v>
      </x:c>
      <x:c r="K73" s="33" t="str">
        <x:v>Autres</x:v>
      </x:c>
      <x:c r="L73" s="33" t="str">
        <x:v>Autres services</x:v>
      </x:c>
      <x:c r="M73" s="33" t="str">
        <x:v>Conakry (à vérifier)</x:v>
      </x:c>
      <x:c r="N73" s="33" t="str"/>
      <x:c r="O73" s="33" t="str">
        <x:v>Corniche</x:v>
      </x:c>
      <x:c r="P73" s="33" t="str"/>
      <x:c r="Q73" s="33" t="str"/>
      <x:c r="R73" s="33" t="str"/>
      <x:c r="S73" s="33" t="str"/>
      <x:c r="T73" s="35" t="n">
        <x:v>9.6129194</x:v>
      </x:c>
      <x:c r="U73" s="35" t="n">
        <x:v>-13.5896023</x:v>
      </x:c>
      <x:c r="V73" s="33" t="str">
        <x:v>https://www.openstreetmap.org/node/5716352721</x:v>
      </x:c>
      <x:c r="W73" s="33" t="str">
        <x:v>node/5716352721</x:v>
      </x:c>
      <x:c r="X73" s="33" t="str">
        <x:v>review_required</x:v>
      </x:c>
      <x:c r="Y73" s="33" t="str">
        <x:v>cite journalistes|conakry a verifier</x:v>
      </x:c>
      <x:c r="Z73" s="33" t="str"/>
      <x:c r="AA73" s="33" t="str"/>
    </x:row>
    <x:row r="74">
      <x:c r="A74" s="30" t="str">
        <x:v>À vérifier</x:v>
      </x:c>
      <x:c r="B74" s="30" t="str"/>
      <x:c r="C74" s="31"/>
      <x:c r="D74" s="30" t="str">
        <x:v>Non vérifié</x:v>
      </x:c>
      <x:c r="E74" s="30" t="str"/>
      <x:c r="F74" s="30" t="str"/>
      <x:c r="G74" s="32" t="str"/>
      <x:c r="H74" s="33" t="str">
        <x:f>IF(I74&lt;&gt;"","Doublon possible","")</x:f>
      </x:c>
      <x:c r="I74" s="33" t="str">
        <x:f>IF(COUNTIFS($Y$9:$Y$678,Y74)&gt;1,"Nom + ville",IF(AND(Z74&lt;&gt;"",COUNTIFS($Z$9:$Z$678,Z74)&gt;1),"Téléphone",IF(AND(AA74&lt;&gt;"",COUNTIFS($AA$9:$AA$678,AA74)&gt;1),"Site web","")))</x:f>
      </x:c>
      <x:c r="J74" s="33" t="str">
        <x:v>Diatech Multi-services</x:v>
      </x:c>
      <x:c r="K74" s="33" t="str">
        <x:v>Autres</x:v>
      </x:c>
      <x:c r="L74" s="33" t="str">
        <x:v>Autres services</x:v>
      </x:c>
      <x:c r="M74" s="33" t="str">
        <x:v>Conakry (à vérifier)</x:v>
      </x:c>
      <x:c r="N74" s="33" t="str"/>
      <x:c r="O74" s="33" t="str"/>
      <x:c r="P74" s="33" t="str">
        <x:v>+224622466936</x:v>
      </x:c>
      <x:c r="Q74" s="33" t="str"/>
      <x:c r="R74" s="33" t="str"/>
      <x:c r="S74" s="33" t="str"/>
      <x:c r="T74" s="35" t="n">
        <x:v>9.562766</x:v>
      </x:c>
      <x:c r="U74" s="35" t="n">
        <x:v>-13.6625279</x:v>
      </x:c>
      <x:c r="V74" s="33" t="str">
        <x:v>https://www.openstreetmap.org/node/7890506906</x:v>
      </x:c>
      <x:c r="W74" s="33" t="str">
        <x:v>node/7890506906</x:v>
      </x:c>
      <x:c r="X74" s="33" t="str">
        <x:v>review_required</x:v>
      </x:c>
      <x:c r="Y74" s="33" t="str">
        <x:v>diatech multi services|conakry a verifier</x:v>
      </x:c>
      <x:c r="Z74" s="33" t="str">
        <x:v>224622466936</x:v>
      </x:c>
      <x:c r="AA74" s="33" t="str"/>
    </x:row>
    <x:row r="75">
      <x:c r="A75" s="30" t="str">
        <x:v>À vérifier</x:v>
      </x:c>
      <x:c r="B75" s="30" t="str"/>
      <x:c r="C75" s="31"/>
      <x:c r="D75" s="30" t="str">
        <x:v>Non vérifié</x:v>
      </x:c>
      <x:c r="E75" s="30" t="str"/>
      <x:c r="F75" s="30" t="str"/>
      <x:c r="G75" s="32" t="str"/>
      <x:c r="H75" s="33" t="str">
        <x:f>IF(I75&lt;&gt;"","Doublon possible","")</x:f>
        <x:v>Doublon possible</x:v>
      </x:c>
      <x:c r="I75" s="33" t="str">
        <x:f>IF(COUNTIFS($Y$9:$Y$678,Y75)&gt;1,"Nom + ville",IF(AND(Z75&lt;&gt;"",COUNTIFS($Z$9:$Z$678,Z75)&gt;1),"Téléphone",IF(AND(AA75&lt;&gt;"",COUNTIFS($AA$9:$AA$678,AA75)&gt;1),"Site web","")))</x:f>
        <x:v>Téléphone</x:v>
      </x:c>
      <x:c r="J75" s="33" t="str">
        <x:v>Domicile</x:v>
      </x:c>
      <x:c r="K75" s="33" t="str">
        <x:v>Autres</x:v>
      </x:c>
      <x:c r="L75" s="33" t="str">
        <x:v>Autres services</x:v>
      </x:c>
      <x:c r="M75" s="33" t="str">
        <x:v>Conakry (à vérifier)</x:v>
      </x:c>
      <x:c r="N75" s="33" t="str"/>
      <x:c r="O75" s="33" t="str"/>
      <x:c r="P75" s="33" t="str">
        <x:v>+224622200200</x:v>
      </x:c>
      <x:c r="Q75" s="33" t="str">
        <x:v>tkare2000@yahoo.fr</x:v>
      </x:c>
      <x:c r="R75" s="33" t="str"/>
      <x:c r="S75" s="33" t="str"/>
      <x:c r="T75" s="35" t="n">
        <x:v>9.6312209</x:v>
      </x:c>
      <x:c r="U75" s="35" t="n">
        <x:v>-13.6129583</x:v>
      </x:c>
      <x:c r="V75" s="33" t="str">
        <x:v>https://www.openstreetmap.org/node/5810957153</x:v>
      </x:c>
      <x:c r="W75" s="33" t="str">
        <x:v>node/5810957153</x:v>
      </x:c>
      <x:c r="X75" s="33" t="str">
        <x:v>review_required</x:v>
      </x:c>
      <x:c r="Y75" s="33" t="str">
        <x:v>domicile|conakry a verifier</x:v>
      </x:c>
      <x:c r="Z75" s="33" t="str">
        <x:v>224622200200</x:v>
      </x:c>
      <x:c r="AA75" s="33" t="str"/>
    </x:row>
    <x:row r="76">
      <x:c r="A76" s="30" t="str">
        <x:v>À vérifier</x:v>
      </x:c>
      <x:c r="B76" s="30" t="str"/>
      <x:c r="C76" s="31"/>
      <x:c r="D76" s="30" t="str">
        <x:v>Non vérifié</x:v>
      </x:c>
      <x:c r="E76" s="30" t="str"/>
      <x:c r="F76" s="30" t="str"/>
      <x:c r="G76" s="32" t="str"/>
      <x:c r="H76" s="33" t="str">
        <x:f>IF(I76&lt;&gt;"","Doublon possible","")</x:f>
        <x:v>Doublon possible</x:v>
      </x:c>
      <x:c r="I76" s="33" t="str">
        <x:f>IF(COUNTIFS($Y$9:$Y$678,Y76)&gt;1,"Nom + ville",IF(AND(Z76&lt;&gt;"",COUNTIFS($Z$9:$Z$678,Z76)&gt;1),"Téléphone",IF(AND(AA76&lt;&gt;"",COUNTIFS($AA$9:$AA$678,AA76)&gt;1),"Site web","")))</x:f>
        <x:v>Site web</x:v>
      </x:c>
      <x:c r="J76" s="33" t="str">
        <x:v>Global Technologie centre de formation professionnelle</x:v>
      </x:c>
      <x:c r="K76" s="33" t="str">
        <x:v>Autres</x:v>
      </x:c>
      <x:c r="L76" s="33" t="str">
        <x:v>Autres services</x:v>
      </x:c>
      <x:c r="M76" s="33" t="str">
        <x:v>Conakry (à vérifier)</x:v>
      </x:c>
      <x:c r="N76" s="33" t="str"/>
      <x:c r="O76" s="33" t="str"/>
      <x:c r="P76" s="33" t="str">
        <x:v>628519562 / 664773037</x:v>
      </x:c>
      <x:c r="Q76" s="33" t="str"/>
      <x:c r="R76" s="33" t="str">
        <x:v>g17technologie@gmail.com</x:v>
      </x:c>
      <x:c r="S76" s="33" t="str"/>
      <x:c r="T76" s="35" t="n">
        <x:v>9.6093718</x:v>
      </x:c>
      <x:c r="U76" s="35" t="n">
        <x:v>-13.5972094</x:v>
      </x:c>
      <x:c r="V76" s="33" t="str">
        <x:v>https://www.openstreetmap.org/node/6918587249</x:v>
      </x:c>
      <x:c r="W76" s="33" t="str">
        <x:v>node/6918587249</x:v>
      </x:c>
      <x:c r="X76" s="33" t="str">
        <x:v>review_required</x:v>
      </x:c>
      <x:c r="Y76" s="33" t="str">
        <x:v>global technologie centre de formation professionnelle|conakry a verifier</x:v>
      </x:c>
      <x:c r="Z76" s="33" t="str">
        <x:v>628519562664773037</x:v>
      </x:c>
      <x:c r="AA76" s="33" t="str">
        <x:v>gmail.com</x:v>
      </x:c>
    </x:row>
    <x:row r="77">
      <x:c r="A77" s="30" t="str">
        <x:v>À vérifier</x:v>
      </x:c>
      <x:c r="B77" s="30" t="str"/>
      <x:c r="C77" s="31"/>
      <x:c r="D77" s="30" t="str">
        <x:v>Non vérifié</x:v>
      </x:c>
      <x:c r="E77" s="30" t="str"/>
      <x:c r="F77" s="30" t="str"/>
      <x:c r="G77" s="32" t="str"/>
      <x:c r="H77" s="33" t="str">
        <x:f>IF(I77&lt;&gt;"","Doublon possible","")</x:f>
      </x:c>
      <x:c r="I77" s="33" t="str">
        <x:f>IF(COUNTIFS($Y$9:$Y$678,Y77)&gt;1,"Nom + ville",IF(AND(Z77&lt;&gt;"",COUNTIFS($Z$9:$Z$678,Z77)&gt;1),"Téléphone",IF(AND(AA77&lt;&gt;"",COUNTIFS($AA$9:$AA$678,AA77)&gt;1),"Site web","")))</x:f>
      </x:c>
      <x:c r="J77" s="33" t="str">
        <x:v>iCyber</x:v>
      </x:c>
      <x:c r="K77" s="33" t="str">
        <x:v>Autres</x:v>
      </x:c>
      <x:c r="L77" s="33" t="str">
        <x:v>Autres services</x:v>
      </x:c>
      <x:c r="M77" s="33" t="str">
        <x:v>Conakry (à vérifier)</x:v>
      </x:c>
      <x:c r="N77" s="33" t="str"/>
      <x:c r="O77" s="33" t="str">
        <x:v>5e Boulevard</x:v>
      </x:c>
      <x:c r="P77" s="33" t="str">
        <x:v>+224621057068</x:v>
      </x:c>
      <x:c r="Q77" s="33" t="str">
        <x:v>icyber.almamya@gmail.com</x:v>
      </x:c>
      <x:c r="R77" s="33" t="str">
        <x:v>https://www.cyberguinee.com/</x:v>
      </x:c>
      <x:c r="S77" s="33" t="str"/>
      <x:c r="T77" s="35" t="n">
        <x:v>9.5115875</x:v>
      </x:c>
      <x:c r="U77" s="35" t="n">
        <x:v>-13.7115276</x:v>
      </x:c>
      <x:c r="V77" s="33" t="str">
        <x:v>https://www.openstreetmap.org/node/6820012685</x:v>
      </x:c>
      <x:c r="W77" s="33" t="str">
        <x:v>node/6820012685</x:v>
      </x:c>
      <x:c r="X77" s="33" t="str">
        <x:v>review_required</x:v>
      </x:c>
      <x:c r="Y77" s="33" t="str">
        <x:v>icyber|conakry a verifier</x:v>
      </x:c>
      <x:c r="Z77" s="33" t="str">
        <x:v>224621057068</x:v>
      </x:c>
      <x:c r="AA77" s="33" t="str">
        <x:v>cyberguinee.com</x:v>
      </x:c>
    </x:row>
    <x:row r="78">
      <x:c r="A78" s="30" t="str">
        <x:v>À vérifier</x:v>
      </x:c>
      <x:c r="B78" s="30" t="str"/>
      <x:c r="C78" s="31"/>
      <x:c r="D78" s="30" t="str">
        <x:v>Non vérifié</x:v>
      </x:c>
      <x:c r="E78" s="30" t="str"/>
      <x:c r="F78" s="30" t="str"/>
      <x:c r="G78" s="32" t="str"/>
      <x:c r="H78" s="33" t="str">
        <x:f>IF(I78&lt;&gt;"","Doublon possible","")</x:f>
        <x:v>Doublon possible</x:v>
      </x:c>
      <x:c r="I78" s="33" t="str">
        <x:f>IF(COUNTIFS($Y$9:$Y$678,Y78)&gt;1,"Nom + ville",IF(AND(Z78&lt;&gt;"",COUNTIFS($Z$9:$Z$678,Z78)&gt;1),"Téléphone",IF(AND(AA78&lt;&gt;"",COUNTIFS($AA$9:$AA$678,AA78)&gt;1),"Site web","")))</x:f>
        <x:v>Site web</x:v>
      </x:c>
      <x:c r="J78" s="33" t="str">
        <x:v>Institut Billingue Moderne de Gestion</x:v>
      </x:c>
      <x:c r="K78" s="33" t="str">
        <x:v>Autres</x:v>
      </x:c>
      <x:c r="L78" s="33" t="str">
        <x:v>Autres services</x:v>
      </x:c>
      <x:c r="M78" s="33" t="str">
        <x:v>Conakry (à vérifier)</x:v>
      </x:c>
      <x:c r="N78" s="33" t="str"/>
      <x:c r="O78" s="33" t="str"/>
      <x:c r="P78" s="33" t="str">
        <x:v>621681822 / 660465224</x:v>
      </x:c>
      <x:c r="Q78" s="33" t="str"/>
      <x:c r="R78" s="33" t="str">
        <x:v>lubmgedugulckry@gmail.com</x:v>
      </x:c>
      <x:c r="S78" s="33" t="str"/>
      <x:c r="T78" s="35" t="n">
        <x:v>9.6238959</x:v>
      </x:c>
      <x:c r="U78" s="35" t="n">
        <x:v>-13.5805396</x:v>
      </x:c>
      <x:c r="V78" s="33" t="str">
        <x:v>https://www.openstreetmap.org/node/6898446424</x:v>
      </x:c>
      <x:c r="W78" s="33" t="str">
        <x:v>node/6898446424</x:v>
      </x:c>
      <x:c r="X78" s="33" t="str">
        <x:v>review_required</x:v>
      </x:c>
      <x:c r="Y78" s="33" t="str">
        <x:v>institut billingue moderne de gestion|conakry a verifier</x:v>
      </x:c>
      <x:c r="Z78" s="33" t="str">
        <x:v>621681822660465224</x:v>
      </x:c>
      <x:c r="AA78" s="33" t="str">
        <x:v>gmail.com</x:v>
      </x:c>
    </x:row>
    <x:row r="79">
      <x:c r="A79" s="30" t="str">
        <x:v>À vérifier</x:v>
      </x:c>
      <x:c r="B79" s="30" t="str"/>
      <x:c r="C79" s="31"/>
      <x:c r="D79" s="30" t="str">
        <x:v>Non vérifié</x:v>
      </x:c>
      <x:c r="E79" s="30" t="str"/>
      <x:c r="F79" s="30" t="str"/>
      <x:c r="G79" s="32" t="str"/>
      <x:c r="H79" s="33" t="str">
        <x:f>IF(I79&lt;&gt;"","Doublon possible","")</x:f>
      </x:c>
      <x:c r="I79" s="33" t="str">
        <x:f>IF(COUNTIFS($Y$9:$Y$678,Y79)&gt;1,"Nom + ville",IF(AND(Z79&lt;&gt;"",COUNTIFS($Z$9:$Z$678,Z79)&gt;1),"Téléphone",IF(AND(AA79&lt;&gt;"",COUNTIFS($AA$9:$AA$678,AA79)&gt;1),"Site web","")))</x:f>
      </x:c>
      <x:c r="J79" s="33" t="str">
        <x:v>Mathide Technologie Centre</x:v>
      </x:c>
      <x:c r="K79" s="33" t="str">
        <x:v>Autres</x:v>
      </x:c>
      <x:c r="L79" s="33" t="str">
        <x:v>Autres services</x:v>
      </x:c>
      <x:c r="M79" s="33" t="str">
        <x:v>Conakry (à vérifier)</x:v>
      </x:c>
      <x:c r="N79" s="33" t="str"/>
      <x:c r="O79" s="33" t="str"/>
      <x:c r="P79" s="33" t="str">
        <x:v>224621415589</x:v>
      </x:c>
      <x:c r="Q79" s="33" t="str"/>
      <x:c r="R79" s="33" t="str"/>
      <x:c r="S79" s="33" t="str"/>
      <x:c r="T79" s="35" t="n">
        <x:v>9.655599</x:v>
      </x:c>
      <x:c r="U79" s="35" t="n">
        <x:v>-13.5785255</x:v>
      </x:c>
      <x:c r="V79" s="33" t="str">
        <x:v>https://www.openstreetmap.org/node/7904955712</x:v>
      </x:c>
      <x:c r="W79" s="33" t="str">
        <x:v>node/7904955712</x:v>
      </x:c>
      <x:c r="X79" s="33" t="str">
        <x:v>review_required</x:v>
      </x:c>
      <x:c r="Y79" s="33" t="str">
        <x:v>mathide technologie centre|conakry a verifier</x:v>
      </x:c>
      <x:c r="Z79" s="33" t="str">
        <x:v>224621415589</x:v>
      </x:c>
      <x:c r="AA79" s="33" t="str"/>
    </x:row>
    <x:row r="80">
      <x:c r="A80" s="30" t="str">
        <x:v>À vérifier</x:v>
      </x:c>
      <x:c r="B80" s="30" t="str"/>
      <x:c r="C80" s="31"/>
      <x:c r="D80" s="30" t="str">
        <x:v>Non vérifié</x:v>
      </x:c>
      <x:c r="E80" s="30" t="str"/>
      <x:c r="F80" s="30" t="str"/>
      <x:c r="G80" s="32" t="str"/>
      <x:c r="H80" s="33" t="str">
        <x:f>IF(I80&lt;&gt;"","Doublon possible","")</x:f>
      </x:c>
      <x:c r="I80" s="33" t="str">
        <x:f>IF(COUNTIFS($Y$9:$Y$678,Y80)&gt;1,"Nom + ville",IF(AND(Z80&lt;&gt;"",COUNTIFS($Z$9:$Z$678,Z80)&gt;1),"Téléphone",IF(AND(AA80&lt;&gt;"",COUNTIFS($AA$9:$AA$678,AA80)&gt;1),"Site web","")))</x:f>
      </x:c>
      <x:c r="J80" s="33" t="str">
        <x:v>Mission Catholique ONEC-G</x:v>
      </x:c>
      <x:c r="K80" s="33" t="str">
        <x:v>Autres</x:v>
      </x:c>
      <x:c r="L80" s="33" t="str">
        <x:v>Autres services</x:v>
      </x:c>
      <x:c r="M80" s="33" t="str">
        <x:v>Conakry (à vérifier)</x:v>
      </x:c>
      <x:c r="N80" s="33" t="str"/>
      <x:c r="O80" s="33" t="str"/>
      <x:c r="P80" s="33" t="str">
        <x:v>+224621488548</x:v>
      </x:c>
      <x:c r="Q80" s="33" t="str"/>
      <x:c r="R80" s="33" t="str"/>
      <x:c r="S80" s="33" t="str"/>
      <x:c r="T80" s="35" t="n">
        <x:v>9.6360507</x:v>
      </x:c>
      <x:c r="U80" s="35" t="n">
        <x:v>-13.6220885</x:v>
      </x:c>
      <x:c r="V80" s="33" t="str">
        <x:v>https://www.openstreetmap.org/node/6044920982</x:v>
      </x:c>
      <x:c r="W80" s="33" t="str">
        <x:v>node/6044920982</x:v>
      </x:c>
      <x:c r="X80" s="33" t="str">
        <x:v>review_required</x:v>
      </x:c>
      <x:c r="Y80" s="33" t="str">
        <x:v>mission catholique onec g|conakry a verifier</x:v>
      </x:c>
      <x:c r="Z80" s="33" t="str">
        <x:v>224621488548</x:v>
      </x:c>
      <x:c r="AA80" s="33" t="str"/>
    </x:row>
    <x:row r="81">
      <x:c r="A81" s="30" t="str">
        <x:v>À vérifier</x:v>
      </x:c>
      <x:c r="B81" s="30" t="str"/>
      <x:c r="C81" s="31"/>
      <x:c r="D81" s="30" t="str">
        <x:v>Non vérifié</x:v>
      </x:c>
      <x:c r="E81" s="30" t="str"/>
      <x:c r="F81" s="30" t="str"/>
      <x:c r="G81" s="32" t="str"/>
      <x:c r="H81" s="33" t="str">
        <x:f>IF(I81&lt;&gt;"","Doublon possible","")</x:f>
      </x:c>
      <x:c r="I81" s="33" t="str">
        <x:f>IF(COUNTIFS($Y$9:$Y$678,Y81)&gt;1,"Nom + ville",IF(AND(Z81&lt;&gt;"",COUNTIFS($Z$9:$Z$678,Z81)&gt;1),"Téléphone",IF(AND(AA81&lt;&gt;"",COUNTIFS($AA$9:$AA$678,AA81)&gt;1),"Site web","")))</x:f>
      </x:c>
      <x:c r="J81" s="33" t="str">
        <x:v>Mission évangélique Christ Outreach</x:v>
      </x:c>
      <x:c r="K81" s="33" t="str">
        <x:v>Autres</x:v>
      </x:c>
      <x:c r="L81" s="33" t="str">
        <x:v>Autres services</x:v>
      </x:c>
      <x:c r="M81" s="33" t="str">
        <x:v>Conakry (à vérifier)</x:v>
      </x:c>
      <x:c r="N81" s="33" t="str"/>
      <x:c r="O81" s="33" t="str"/>
      <x:c r="P81" s="33" t="str">
        <x:v>+224626821580</x:v>
      </x:c>
      <x:c r="Q81" s="33" t="str"/>
      <x:c r="R81" s="33" t="str"/>
      <x:c r="S81" s="33" t="str"/>
      <x:c r="T81" s="35" t="n">
        <x:v>9.6332179</x:v>
      </x:c>
      <x:c r="U81" s="35" t="n">
        <x:v>-13.61018</x:v>
      </x:c>
      <x:c r="V81" s="33" t="str">
        <x:v>https://www.openstreetmap.org/node/6044919156</x:v>
      </x:c>
      <x:c r="W81" s="33" t="str">
        <x:v>node/6044919156</x:v>
      </x:c>
      <x:c r="X81" s="33" t="str">
        <x:v>review_required</x:v>
      </x:c>
      <x:c r="Y81" s="33" t="str">
        <x:v>mission evangelique christ outreach|conakry a verifier</x:v>
      </x:c>
      <x:c r="Z81" s="33" t="str">
        <x:v>224626821580</x:v>
      </x:c>
      <x:c r="AA81" s="33" t="str"/>
    </x:row>
    <x:row r="82">
      <x:c r="A82" s="30" t="str">
        <x:v>À vérifier</x:v>
      </x:c>
      <x:c r="B82" s="30" t="str"/>
      <x:c r="C82" s="31"/>
      <x:c r="D82" s="30" t="str">
        <x:v>Non vérifié</x:v>
      </x:c>
      <x:c r="E82" s="30" t="str"/>
      <x:c r="F82" s="30" t="str"/>
      <x:c r="G82" s="32" t="str"/>
      <x:c r="H82" s="33" t="str">
        <x:f>IF(I82&lt;&gt;"","Doublon possible","")</x:f>
      </x:c>
      <x:c r="I82" s="33" t="str">
        <x:f>IF(COUNTIFS($Y$9:$Y$678,Y82)&gt;1,"Nom + ville",IF(AND(Z82&lt;&gt;"",COUNTIFS($Z$9:$Z$678,Z82)&gt;1),"Téléphone",IF(AND(AA82&lt;&gt;"",COUNTIFS($AA$9:$AA$678,AA82)&gt;1),"Site web","")))</x:f>
      </x:c>
      <x:c r="J82" s="33" t="str">
        <x:v>Mosquée Fissabilaye( Amaraya )</x:v>
      </x:c>
      <x:c r="K82" s="33" t="str">
        <x:v>Autres</x:v>
      </x:c>
      <x:c r="L82" s="33" t="str">
        <x:v>Autres services</x:v>
      </x:c>
      <x:c r="M82" s="33" t="str">
        <x:v>Conakry (à vérifier)</x:v>
      </x:c>
      <x:c r="N82" s="33" t="str"/>
      <x:c r="O82" s="33" t="str"/>
      <x:c r="P82" s="33" t="str">
        <x:v>624707594</x:v>
      </x:c>
      <x:c r="Q82" s="33" t="str"/>
      <x:c r="R82" s="33" t="str"/>
      <x:c r="S82" s="33" t="str"/>
      <x:c r="T82" s="35" t="n">
        <x:v>9.686385</x:v>
      </x:c>
      <x:c r="U82" s="35" t="n">
        <x:v>-13.5396116</x:v>
      </x:c>
      <x:c r="V82" s="33" t="str">
        <x:v>https://www.openstreetmap.org/node/8124878850</x:v>
      </x:c>
      <x:c r="W82" s="33" t="str">
        <x:v>node/8124878850</x:v>
      </x:c>
      <x:c r="X82" s="33" t="str">
        <x:v>review_required</x:v>
      </x:c>
      <x:c r="Y82" s="33" t="str">
        <x:v>mosquee fissabilaye amaraya|conakry a verifier</x:v>
      </x:c>
      <x:c r="Z82" s="33" t="str">
        <x:v>224624707594</x:v>
      </x:c>
      <x:c r="AA82" s="33" t="str"/>
    </x:row>
    <x:row r="83">
      <x:c r="A83" s="30" t="str">
        <x:v>À vérifier</x:v>
      </x:c>
      <x:c r="B83" s="30" t="str"/>
      <x:c r="C83" s="31"/>
      <x:c r="D83" s="30" t="str">
        <x:v>Non vérifié</x:v>
      </x:c>
      <x:c r="E83" s="30" t="str"/>
      <x:c r="F83" s="30" t="str"/>
      <x:c r="G83" s="32" t="str"/>
      <x:c r="H83" s="33" t="str">
        <x:f>IF(I83&lt;&gt;"","Doublon possible","")</x:f>
      </x:c>
      <x:c r="I83" s="33" t="str">
        <x:f>IF(COUNTIFS($Y$9:$Y$678,Y83)&gt;1,"Nom + ville",IF(AND(Z83&lt;&gt;"",COUNTIFS($Z$9:$Z$678,Z83)&gt;1),"Téléphone",IF(AND(AA83&lt;&gt;"",COUNTIFS($AA$9:$AA$678,AA83)&gt;1),"Site web","")))</x:f>
      </x:c>
      <x:c r="J83" s="33" t="str">
        <x:v>Mosquée Mali</x:v>
      </x:c>
      <x:c r="K83" s="33" t="str">
        <x:v>Autres</x:v>
      </x:c>
      <x:c r="L83" s="33" t="str">
        <x:v>Autres services</x:v>
      </x:c>
      <x:c r="M83" s="33" t="str">
        <x:v>Conakry</x:v>
      </x:c>
      <x:c r="N83" s="33" t="str"/>
      <x:c r="O83" s="33" t="str">
        <x:v>Mosquée Mali T8</x:v>
      </x:c>
      <x:c r="P83" s="33" t="str"/>
      <x:c r="Q83" s="33" t="str"/>
      <x:c r="R83" s="33" t="str"/>
      <x:c r="S83" s="33" t="str"/>
      <x:c r="T83" s="35" t="n">
        <x:v>9.6813596</x:v>
      </x:c>
      <x:c r="U83" s="35" t="n">
        <x:v>-13.5459924</x:v>
      </x:c>
      <x:c r="V83" s="33" t="str">
        <x:v>https://www.openstreetmap.org/node/6269863885</x:v>
      </x:c>
      <x:c r="W83" s="33" t="str">
        <x:v>node/6269863885</x:v>
      </x:c>
      <x:c r="X83" s="33" t="str">
        <x:v>review_required</x:v>
      </x:c>
      <x:c r="Y83" s="33" t="str">
        <x:v>mosquee mali|conakry</x:v>
      </x:c>
      <x:c r="Z83" s="33" t="str"/>
      <x:c r="AA83" s="33" t="str"/>
    </x:row>
    <x:row r="84">
      <x:c r="A84" s="30" t="str">
        <x:v>À vérifier</x:v>
      </x:c>
      <x:c r="B84" s="30" t="str"/>
      <x:c r="C84" s="31"/>
      <x:c r="D84" s="30" t="str">
        <x:v>Non vérifié</x:v>
      </x:c>
      <x:c r="E84" s="30" t="str"/>
      <x:c r="F84" s="30" t="str"/>
      <x:c r="G84" s="32" t="str"/>
      <x:c r="H84" s="33" t="str">
        <x:f>IF(I84&lt;&gt;"","Doublon possible","")</x:f>
      </x:c>
      <x:c r="I84" s="33" t="str">
        <x:f>IF(COUNTIFS($Y$9:$Y$678,Y84)&gt;1,"Nom + ville",IF(AND(Z84&lt;&gt;"",COUNTIFS($Z$9:$Z$678,Z84)&gt;1),"Téléphone",IF(AND(AA84&lt;&gt;"",COUNTIFS($AA$9:$AA$678,AA84)&gt;1),"Site web","")))</x:f>
      </x:c>
      <x:c r="J84" s="33" t="str">
        <x:v>Mosquée Waliyoullahi El.H Ibrahima Camara</x:v>
      </x:c>
      <x:c r="K84" s="33" t="str">
        <x:v>Autres</x:v>
      </x:c>
      <x:c r="L84" s="33" t="str">
        <x:v>Autres services</x:v>
      </x:c>
      <x:c r="M84" s="33" t="str">
        <x:v>Conakry (à vérifier)</x:v>
      </x:c>
      <x:c r="N84" s="33" t="str"/>
      <x:c r="O84" s="33" t="str">
        <x:v>Gbessia Cité 3</x:v>
      </x:c>
      <x:c r="P84" s="33" t="str"/>
      <x:c r="Q84" s="33" t="str"/>
      <x:c r="R84" s="33" t="str"/>
      <x:c r="S84" s="33" t="str"/>
      <x:c r="T84" s="35" t="n">
        <x:v>9.5705785</x:v>
      </x:c>
      <x:c r="U84" s="35" t="n">
        <x:v>-13.6329342</x:v>
      </x:c>
      <x:c r="V84" s="33" t="str">
        <x:v>https://www.openstreetmap.org/way/617727225</x:v>
      </x:c>
      <x:c r="W84" s="33" t="str">
        <x:v>way/617727225</x:v>
      </x:c>
      <x:c r="X84" s="33" t="str">
        <x:v>review_required</x:v>
      </x:c>
      <x:c r="Y84" s="33" t="str">
        <x:v>mosquee waliyoullahi el h ibrahima camara|conakry a verifier</x:v>
      </x:c>
      <x:c r="Z84" s="33" t="str"/>
      <x:c r="AA84" s="33" t="str"/>
    </x:row>
    <x:row r="85">
      <x:c r="A85" s="30" t="str">
        <x:v>À vérifier</x:v>
      </x:c>
      <x:c r="B85" s="30" t="str"/>
      <x:c r="C85" s="31"/>
      <x:c r="D85" s="30" t="str">
        <x:v>Non vérifié</x:v>
      </x:c>
      <x:c r="E85" s="30" t="str"/>
      <x:c r="F85" s="30" t="str"/>
      <x:c r="G85" s="32" t="str"/>
      <x:c r="H85" s="33" t="str">
        <x:f>IF(I85&lt;&gt;"","Doublon possible","")</x:f>
        <x:v>Doublon possible</x:v>
      </x:c>
      <x:c r="I85" s="33" t="str">
        <x:f>IF(COUNTIFS($Y$9:$Y$678,Y85)&gt;1,"Nom + ville",IF(AND(Z85&lt;&gt;"",COUNTIFS($Z$9:$Z$678,Z85)&gt;1),"Téléphone",IF(AND(AA85&lt;&gt;"",COUNTIFS($AA$9:$AA$678,AA85)&gt;1),"Site web","")))</x:f>
        <x:v>Téléphone</x:v>
      </x:c>
      <x:c r="J85" s="33" t="str">
        <x:v>Mouna Technology</x:v>
      </x:c>
      <x:c r="K85" s="33" t="str">
        <x:v>Autres</x:v>
      </x:c>
      <x:c r="L85" s="33" t="str">
        <x:v>Autres services</x:v>
      </x:c>
      <x:c r="M85" s="33" t="str">
        <x:v>Conakry</x:v>
      </x:c>
      <x:c r="N85" s="33" t="str"/>
      <x:c r="O85" s="33" t="str">
        <x:v>Avenue de la République</x:v>
      </x:c>
      <x:c r="P85" s="33" t="str">
        <x:v>+224 628 34 00 60</x:v>
      </x:c>
      <x:c r="Q85" s="33" t="str"/>
      <x:c r="R85" s="33" t="str">
        <x:v>www.mounainternet.net</x:v>
      </x:c>
      <x:c r="S85" s="33" t="str"/>
      <x:c r="T85" s="35" t="n">
        <x:v>9.5090512</x:v>
      </x:c>
      <x:c r="U85" s="35" t="n">
        <x:v>-13.712764</x:v>
      </x:c>
      <x:c r="V85" s="33" t="str">
        <x:v>https://www.openstreetmap.org/node/5597289808</x:v>
      </x:c>
      <x:c r="W85" s="33" t="str">
        <x:v>node/5597289808</x:v>
      </x:c>
      <x:c r="X85" s="33" t="str">
        <x:v>review_required</x:v>
      </x:c>
      <x:c r="Y85" s="33" t="str">
        <x:v>mouna technology|conakry</x:v>
      </x:c>
      <x:c r="Z85" s="33" t="str">
        <x:v>224628340060</x:v>
      </x:c>
      <x:c r="AA85" s="33" t="str">
        <x:v>mounainternet.net</x:v>
      </x:c>
    </x:row>
    <x:row r="86">
      <x:c r="A86" s="30" t="str">
        <x:v>À vérifier</x:v>
      </x:c>
      <x:c r="B86" s="30" t="str"/>
      <x:c r="C86" s="31"/>
      <x:c r="D86" s="30" t="str">
        <x:v>Non vérifié</x:v>
      </x:c>
      <x:c r="E86" s="30" t="str"/>
      <x:c r="F86" s="30" t="str"/>
      <x:c r="G86" s="32" t="str"/>
      <x:c r="H86" s="33" t="str">
        <x:f>IF(I86&lt;&gt;"","Doublon possible","")</x:f>
      </x:c>
      <x:c r="I86" s="33" t="str">
        <x:f>IF(COUNTIFS($Y$9:$Y$678,Y86)&gt;1,"Nom + ville",IF(AND(Z86&lt;&gt;"",COUNTIFS($Z$9:$Z$678,Z86)&gt;1),"Téléphone",IF(AND(AA86&lt;&gt;"",COUNTIFS($AA$9:$AA$678,AA86)&gt;1),"Site web","")))</x:f>
      </x:c>
      <x:c r="J86" s="33" t="str">
        <x:v>ONG LA GRACE</x:v>
      </x:c>
      <x:c r="K86" s="33" t="str">
        <x:v>Autres</x:v>
      </x:c>
      <x:c r="L86" s="33" t="str">
        <x:v>Autres services</x:v>
      </x:c>
      <x:c r="M86" s="33" t="str">
        <x:v>Conakry (à vérifier)</x:v>
      </x:c>
      <x:c r="N86" s="33" t="str"/>
      <x:c r="O86" s="33" t="str"/>
      <x:c r="P86" s="33" t="str">
        <x:v>628360855</x:v>
      </x:c>
      <x:c r="Q86" s="33" t="str"/>
      <x:c r="R86" s="33" t="str"/>
      <x:c r="S86" s="33" t="str"/>
      <x:c r="T86" s="35" t="n">
        <x:v>9.6592436</x:v>
      </x:c>
      <x:c r="U86" s="35" t="n">
        <x:v>-13.5824978</x:v>
      </x:c>
      <x:c r="V86" s="33" t="str">
        <x:v>https://www.openstreetmap.org/node/8463973864</x:v>
      </x:c>
      <x:c r="W86" s="33" t="str">
        <x:v>node/8463973864</x:v>
      </x:c>
      <x:c r="X86" s="33" t="str">
        <x:v>review_required</x:v>
      </x:c>
      <x:c r="Y86" s="33" t="str">
        <x:v>ong la grace|conakry a verifier</x:v>
      </x:c>
      <x:c r="Z86" s="33" t="str">
        <x:v>224628360855</x:v>
      </x:c>
      <x:c r="AA86" s="33" t="str"/>
    </x:row>
    <x:row r="87">
      <x:c r="A87" s="30" t="str">
        <x:v>À vérifier</x:v>
      </x:c>
      <x:c r="B87" s="30" t="str"/>
      <x:c r="C87" s="31"/>
      <x:c r="D87" s="30" t="str">
        <x:v>Non vérifié</x:v>
      </x:c>
      <x:c r="E87" s="30" t="str"/>
      <x:c r="F87" s="30" t="str"/>
      <x:c r="G87" s="32" t="str"/>
      <x:c r="H87" s="33" t="str">
        <x:f>IF(I87&lt;&gt;"","Doublon possible","")</x:f>
      </x:c>
      <x:c r="I87" s="33" t="str">
        <x:f>IF(COUNTIFS($Y$9:$Y$678,Y87)&gt;1,"Nom + ville",IF(AND(Z87&lt;&gt;"",COUNTIFS($Z$9:$Z$678,Z87)&gt;1),"Téléphone",IF(AND(AA87&lt;&gt;"",COUNTIFS($AA$9:$AA$678,AA87)&gt;1),"Site web","")))</x:f>
      </x:c>
      <x:c r="J87" s="33" t="str">
        <x:v>Paroisse Catholique Saint Michel de Coleah</x:v>
      </x:c>
      <x:c r="K87" s="33" t="str">
        <x:v>Autres</x:v>
      </x:c>
      <x:c r="L87" s="33" t="str">
        <x:v>Autres services</x:v>
      </x:c>
      <x:c r="M87" s="33" t="str">
        <x:v>Conakry (à vérifier)</x:v>
      </x:c>
      <x:c r="N87" s="33" t="str"/>
      <x:c r="O87" s="33" t="str"/>
      <x:c r="P87" s="33" t="str">
        <x:v>623741833</x:v>
      </x:c>
      <x:c r="Q87" s="33" t="str"/>
      <x:c r="R87" s="33" t="str"/>
      <x:c r="S87" s="33" t="str"/>
      <x:c r="T87" s="35" t="n">
        <x:v>9.538683</x:v>
      </x:c>
      <x:c r="U87" s="35" t="n">
        <x:v>-13.675287</x:v>
      </x:c>
      <x:c r="V87" s="33" t="str">
        <x:v>https://www.openstreetmap.org/node/8480157818</x:v>
      </x:c>
      <x:c r="W87" s="33" t="str">
        <x:v>node/8480157818</x:v>
      </x:c>
      <x:c r="X87" s="33" t="str">
        <x:v>review_required</x:v>
      </x:c>
      <x:c r="Y87" s="33" t="str">
        <x:v>paroisse catholique saint michel de coleah|conakry a verifier</x:v>
      </x:c>
      <x:c r="Z87" s="33" t="str">
        <x:v>224623741833</x:v>
      </x:c>
      <x:c r="AA87" s="33" t="str"/>
    </x:row>
    <x:row r="88">
      <x:c r="A88" s="30" t="str">
        <x:v>À vérifier</x:v>
      </x:c>
      <x:c r="B88" s="30" t="str"/>
      <x:c r="C88" s="31"/>
      <x:c r="D88" s="30" t="str">
        <x:v>Non vérifié</x:v>
      </x:c>
      <x:c r="E88" s="30" t="str"/>
      <x:c r="F88" s="30" t="str"/>
      <x:c r="G88" s="32" t="str"/>
      <x:c r="H88" s="33" t="str">
        <x:f>IF(I88&lt;&gt;"","Doublon possible","")</x:f>
        <x:v>Doublon possible</x:v>
      </x:c>
      <x:c r="I88" s="33" t="str">
        <x:f>IF(COUNTIFS($Y$9:$Y$678,Y88)&gt;1,"Nom + ville",IF(AND(Z88&lt;&gt;"",COUNTIFS($Z$9:$Z$678,Z88)&gt;1),"Téléphone",IF(AND(AA88&lt;&gt;"",COUNTIFS($AA$9:$AA$678,AA88)&gt;1),"Site web","")))</x:f>
        <x:v>Site web</x:v>
      </x:c>
      <x:c r="J88" s="33" t="str">
        <x:v>Réseaux Star Oil Taouyah</x:v>
      </x:c>
      <x:c r="K88" s="33" t="str">
        <x:v>Autres</x:v>
      </x:c>
      <x:c r="L88" s="33" t="str">
        <x:v>Autres services</x:v>
      </x:c>
      <x:c r="M88" s="33" t="str">
        <x:v>Conakry (à vérifier)</x:v>
      </x:c>
      <x:c r="N88" s="33" t="str"/>
      <x:c r="O88" s="33" t="str"/>
      <x:c r="P88" s="33" t="str"/>
      <x:c r="Q88" s="33" t="str"/>
      <x:c r="R88" s="33" t="str">
        <x:v>http://www.staroilgroup.com</x:v>
      </x:c>
      <x:c r="S88" s="33" t="str"/>
      <x:c r="T88" s="35" t="n">
        <x:v>9.5829467</x:v>
      </x:c>
      <x:c r="U88" s="35" t="n">
        <x:v>-13.6622224</x:v>
      </x:c>
      <x:c r="V88" s="33" t="str">
        <x:v>https://www.openstreetmap.org/node/4494998300</x:v>
      </x:c>
      <x:c r="W88" s="33" t="str">
        <x:v>node/4494998300</x:v>
      </x:c>
      <x:c r="X88" s="33" t="str">
        <x:v>review_required</x:v>
      </x:c>
      <x:c r="Y88" s="33" t="str">
        <x:v>reseaux star oil taouyah|conakry a verifier</x:v>
      </x:c>
      <x:c r="Z88" s="33" t="str"/>
      <x:c r="AA88" s="33" t="str">
        <x:v>staroilgroup.com</x:v>
      </x:c>
    </x:row>
    <x:row r="89">
      <x:c r="A89" s="30" t="str">
        <x:v>À vérifier</x:v>
      </x:c>
      <x:c r="B89" s="30" t="str"/>
      <x:c r="C89" s="31"/>
      <x:c r="D89" s="30" t="str">
        <x:v>Non vérifié</x:v>
      </x:c>
      <x:c r="E89" s="30" t="str"/>
      <x:c r="F89" s="30" t="str"/>
      <x:c r="G89" s="32" t="str"/>
      <x:c r="H89" s="33" t="str">
        <x:f>IF(I89&lt;&gt;"","Doublon possible","")</x:f>
      </x:c>
      <x:c r="I89" s="33" t="str">
        <x:f>IF(COUNTIFS($Y$9:$Y$678,Y89)&gt;1,"Nom + ville",IF(AND(Z89&lt;&gt;"",COUNTIFS($Z$9:$Z$678,Z89)&gt;1),"Téléphone",IF(AND(AA89&lt;&gt;"",COUNTIFS($AA$9:$AA$678,AA89)&gt;1),"Site web","")))</x:f>
      </x:c>
      <x:c r="J89" s="33" t="str">
        <x:v>Salle de royaume Des témoins de Jehovah</x:v>
      </x:c>
      <x:c r="K89" s="33" t="str">
        <x:v>Autres</x:v>
      </x:c>
      <x:c r="L89" s="33" t="str">
        <x:v>Autres services</x:v>
      </x:c>
      <x:c r="M89" s="33" t="str">
        <x:v>Conakry (à vérifier)</x:v>
      </x:c>
      <x:c r="N89" s="33" t="str"/>
      <x:c r="O89" s="33" t="str">
        <x:v>no 1</x:v>
      </x:c>
      <x:c r="P89" s="33" t="str"/>
      <x:c r="Q89" s="33" t="str">
        <x:v>sibabilivogui2@gmail.com</x:v>
      </x:c>
      <x:c r="R89" s="33" t="str">
        <x:v>https://www.jw.org/</x:v>
      </x:c>
      <x:c r="S89" s="33" t="str"/>
      <x:c r="T89" s="35" t="n">
        <x:v>9.659354</x:v>
      </x:c>
      <x:c r="U89" s="35" t="n">
        <x:v>-13.5318712</x:v>
      </x:c>
      <x:c r="V89" s="33" t="str">
        <x:v>https://www.openstreetmap.org/way/547246727</x:v>
      </x:c>
      <x:c r="W89" s="33" t="str">
        <x:v>way/547246727</x:v>
      </x:c>
      <x:c r="X89" s="33" t="str">
        <x:v>review_required</x:v>
      </x:c>
      <x:c r="Y89" s="33" t="str">
        <x:v>salle de royaume des temoins de jehovah|conakry a verifier</x:v>
      </x:c>
      <x:c r="Z89" s="33" t="str"/>
      <x:c r="AA89" s="33" t="str">
        <x:v>jw.org</x:v>
      </x:c>
    </x:row>
    <x:row r="90">
      <x:c r="A90" s="30" t="str">
        <x:v>À vérifier</x:v>
      </x:c>
      <x:c r="B90" s="30" t="str"/>
      <x:c r="C90" s="31"/>
      <x:c r="D90" s="30" t="str">
        <x:v>Non vérifié</x:v>
      </x:c>
      <x:c r="E90" s="30" t="str"/>
      <x:c r="F90" s="30" t="str"/>
      <x:c r="G90" s="32" t="str"/>
      <x:c r="H90" s="33" t="str">
        <x:f>IF(I90&lt;&gt;"","Doublon possible","")</x:f>
      </x:c>
      <x:c r="I90" s="33" t="str">
        <x:f>IF(COUNTIFS($Y$9:$Y$678,Y90)&gt;1,"Nom + ville",IF(AND(Z90&lt;&gt;"",COUNTIFS($Z$9:$Z$678,Z90)&gt;1),"Téléphone",IF(AND(AA90&lt;&gt;"",COUNTIFS($AA$9:$AA$678,AA90)&gt;1),"Site web","")))</x:f>
      </x:c>
      <x:c r="J90" s="33" t="str">
        <x:v>Salle du Royaume des Témoins de Jéhovah</x:v>
      </x:c>
      <x:c r="K90" s="33" t="str">
        <x:v>Autres</x:v>
      </x:c>
      <x:c r="L90" s="33" t="str">
        <x:v>Autres services</x:v>
      </x:c>
      <x:c r="M90" s="33" t="str">
        <x:v>Conakry (à vérifier)</x:v>
      </x:c>
      <x:c r="N90" s="33" t="str"/>
      <x:c r="O90" s="33" t="str">
        <x:v>Kipe Dadia</x:v>
      </x:c>
      <x:c r="P90" s="33" t="str"/>
      <x:c r="Q90" s="33" t="str"/>
      <x:c r="R90" s="33" t="str"/>
      <x:c r="S90" s="33" t="str"/>
      <x:c r="T90" s="35" t="n">
        <x:v>9.5994756</x:v>
      </x:c>
      <x:c r="U90" s="35" t="n">
        <x:v>-13.6529391</x:v>
      </x:c>
      <x:c r="V90" s="33" t="str">
        <x:v>https://www.openstreetmap.org/node/6227201299</x:v>
      </x:c>
      <x:c r="W90" s="33" t="str">
        <x:v>node/6227201299</x:v>
      </x:c>
      <x:c r="X90" s="33" t="str">
        <x:v>review_required</x:v>
      </x:c>
      <x:c r="Y90" s="33" t="str">
        <x:v>salle du royaume des temoins de jehovah|conakry a verifier</x:v>
      </x:c>
      <x:c r="Z90" s="33" t="str"/>
      <x:c r="AA90" s="33" t="str"/>
    </x:row>
    <x:row r="91">
      <x:c r="A91" s="30" t="str">
        <x:v>À vérifier</x:v>
      </x:c>
      <x:c r="B91" s="30" t="str"/>
      <x:c r="C91" s="31"/>
      <x:c r="D91" s="30" t="str">
        <x:v>Non vérifié</x:v>
      </x:c>
      <x:c r="E91" s="30" t="str"/>
      <x:c r="F91" s="30" t="str"/>
      <x:c r="G91" s="32" t="str"/>
      <x:c r="H91" s="33" t="str">
        <x:f>IF(I91&lt;&gt;"","Doublon possible","")</x:f>
        <x:v>Doublon possible</x:v>
      </x:c>
      <x:c r="I91" s="33" t="str">
        <x:f>IF(COUNTIFS($Y$9:$Y$678,Y91)&gt;1,"Nom + ville",IF(AND(Z91&lt;&gt;"",COUNTIFS($Z$9:$Z$678,Z91)&gt;1),"Téléphone",IF(AND(AA91&lt;&gt;"",COUNTIFS($AA$9:$AA$678,AA91)&gt;1),"Site web","")))</x:f>
        <x:v>Site web</x:v>
      </x:c>
      <x:c r="J91" s="33" t="str">
        <x:v>SS Star Oil Gbessia T2</x:v>
      </x:c>
      <x:c r="K91" s="33" t="str">
        <x:v>Autres</x:v>
      </x:c>
      <x:c r="L91" s="33" t="str">
        <x:v>Autres services</x:v>
      </x:c>
      <x:c r="M91" s="33" t="str">
        <x:v>Conakry (à vérifier)</x:v>
      </x:c>
      <x:c r="N91" s="33" t="str"/>
      <x:c r="O91" s="33" t="str"/>
      <x:c r="P91" s="33" t="str"/>
      <x:c r="Q91" s="33" t="str"/>
      <x:c r="R91" s="33" t="str">
        <x:v>http://www.staroilgroup.com</x:v>
      </x:c>
      <x:c r="S91" s="33" t="str"/>
      <x:c r="T91" s="35" t="n">
        <x:v>9.5797249</x:v>
      </x:c>
      <x:c r="U91" s="35" t="n">
        <x:v>-13.6240352</x:v>
      </x:c>
      <x:c r="V91" s="33" t="str">
        <x:v>https://www.openstreetmap.org/node/8865834117</x:v>
      </x:c>
      <x:c r="W91" s="33" t="str">
        <x:v>node/8865834117</x:v>
      </x:c>
      <x:c r="X91" s="33" t="str">
        <x:v>review_required</x:v>
      </x:c>
      <x:c r="Y91" s="33" t="str">
        <x:v>ss star oil gbessia t2|conakry a verifier</x:v>
      </x:c>
      <x:c r="Z91" s="33" t="str"/>
      <x:c r="AA91" s="33" t="str">
        <x:v>staroilgroup.com</x:v>
      </x:c>
    </x:row>
    <x:row r="92">
      <x:c r="A92" s="30" t="str">
        <x:v>À vérifier</x:v>
      </x:c>
      <x:c r="B92" s="30" t="str"/>
      <x:c r="C92" s="31"/>
      <x:c r="D92" s="30" t="str">
        <x:v>Non vérifié</x:v>
      </x:c>
      <x:c r="E92" s="30" t="str"/>
      <x:c r="F92" s="30" t="str"/>
      <x:c r="G92" s="32" t="str"/>
      <x:c r="H92" s="33" t="str">
        <x:f>IF(I92&lt;&gt;"","Doublon possible","")</x:f>
        <x:v>Doublon possible</x:v>
      </x:c>
      <x:c r="I92" s="33" t="str">
        <x:f>IF(COUNTIFS($Y$9:$Y$678,Y92)&gt;1,"Nom + ville",IF(AND(Z92&lt;&gt;"",COUNTIFS($Z$9:$Z$678,Z92)&gt;1),"Téléphone",IF(AND(AA92&lt;&gt;"",COUNTIFS($AA$9:$AA$678,AA92)&gt;1),"Site web","")))</x:f>
        <x:v>Site web</x:v>
      </x:c>
      <x:c r="J92" s="33" t="str">
        <x:v>SS Star Oil Kagbelen Guicopress</x:v>
      </x:c>
      <x:c r="K92" s="33" t="str">
        <x:v>Autres</x:v>
      </x:c>
      <x:c r="L92" s="33" t="str">
        <x:v>Autres services</x:v>
      </x:c>
      <x:c r="M92" s="33" t="str">
        <x:v>Conakry (à vérifier)</x:v>
      </x:c>
      <x:c r="N92" s="33" t="str"/>
      <x:c r="O92" s="33" t="str"/>
      <x:c r="P92" s="33" t="str"/>
      <x:c r="Q92" s="33" t="str"/>
      <x:c r="R92" s="33" t="str">
        <x:v>http://www.staroilgroup.com</x:v>
      </x:c>
      <x:c r="S92" s="33" t="str"/>
      <x:c r="T92" s="35" t="n">
        <x:v>9.7327598</x:v>
      </x:c>
      <x:c r="U92" s="35" t="n">
        <x:v>-13.5019978</x:v>
      </x:c>
      <x:c r="V92" s="33" t="str">
        <x:v>https://www.openstreetmap.org/node/8865807024</x:v>
      </x:c>
      <x:c r="W92" s="33" t="str">
        <x:v>node/8865807024</x:v>
      </x:c>
      <x:c r="X92" s="33" t="str">
        <x:v>review_required</x:v>
      </x:c>
      <x:c r="Y92" s="33" t="str">
        <x:v>ss star oil kagbelen guicopress|conakry a verifier</x:v>
      </x:c>
      <x:c r="Z92" s="33" t="str"/>
      <x:c r="AA92" s="33" t="str">
        <x:v>staroilgroup.com</x:v>
      </x:c>
    </x:row>
    <x:row r="93">
      <x:c r="A93" s="30" t="str">
        <x:v>À vérifier</x:v>
      </x:c>
      <x:c r="B93" s="30" t="str"/>
      <x:c r="C93" s="31"/>
      <x:c r="D93" s="30" t="str">
        <x:v>Non vérifié</x:v>
      </x:c>
      <x:c r="E93" s="30" t="str"/>
      <x:c r="F93" s="30" t="str"/>
      <x:c r="G93" s="32" t="str"/>
      <x:c r="H93" s="33" t="str">
        <x:f>IF(I93&lt;&gt;"","Doublon possible","")</x:f>
        <x:v>Doublon possible</x:v>
      </x:c>
      <x:c r="I93" s="33" t="str">
        <x:f>IF(COUNTIFS($Y$9:$Y$678,Y93)&gt;1,"Nom + ville",IF(AND(Z93&lt;&gt;"",COUNTIFS($Z$9:$Z$678,Z93)&gt;1),"Téléphone",IF(AND(AA93&lt;&gt;"",COUNTIFS($AA$9:$AA$678,AA93)&gt;1),"Site web","")))</x:f>
        <x:v>Site web</x:v>
      </x:c>
      <x:c r="J93" s="33" t="str">
        <x:v>Star Oil  Star Sango Yah</x:v>
      </x:c>
      <x:c r="K93" s="33" t="str">
        <x:v>Autres</x:v>
      </x:c>
      <x:c r="L93" s="33" t="str">
        <x:v>Autres services</x:v>
      </x:c>
      <x:c r="M93" s="33" t="str">
        <x:v>Conakry (à vérifier)</x:v>
      </x:c>
      <x:c r="N93" s="33" t="str"/>
      <x:c r="O93" s="33" t="str"/>
      <x:c r="P93" s="33" t="str"/>
      <x:c r="Q93" s="33" t="str"/>
      <x:c r="R93" s="33" t="str">
        <x:v>http://www.staroilgroup.com</x:v>
      </x:c>
      <x:c r="S93" s="33" t="str"/>
      <x:c r="T93" s="35" t="n">
        <x:v>9.6253118</x:v>
      </x:c>
      <x:c r="U93" s="35" t="n">
        <x:v>-13.5788093</x:v>
      </x:c>
      <x:c r="V93" s="33" t="str">
        <x:v>https://www.openstreetmap.org/node/4179509606</x:v>
      </x:c>
      <x:c r="W93" s="33" t="str">
        <x:v>node/4179509606</x:v>
      </x:c>
      <x:c r="X93" s="33" t="str">
        <x:v>review_required</x:v>
      </x:c>
      <x:c r="Y93" s="33" t="str">
        <x:v>star oil star sango yah|conakry a verifier</x:v>
      </x:c>
      <x:c r="Z93" s="33" t="str"/>
      <x:c r="AA93" s="33" t="str">
        <x:v>staroilgroup.com</x:v>
      </x:c>
    </x:row>
    <x:row r="94">
      <x:c r="A94" s="30" t="str">
        <x:v>À vérifier</x:v>
      </x:c>
      <x:c r="B94" s="30" t="str"/>
      <x:c r="C94" s="31"/>
      <x:c r="D94" s="30" t="str">
        <x:v>Non vérifié</x:v>
      </x:c>
      <x:c r="E94" s="30" t="str"/>
      <x:c r="F94" s="30" t="str"/>
      <x:c r="G94" s="32" t="str"/>
      <x:c r="H94" s="33" t="str">
        <x:f>IF(I94&lt;&gt;"","Doublon possible","")</x:f>
        <x:v>Doublon possible</x:v>
      </x:c>
      <x:c r="I94" s="33" t="str">
        <x:f>IF(COUNTIFS($Y$9:$Y$678,Y94)&gt;1,"Nom + ville",IF(AND(Z94&lt;&gt;"",COUNTIFS($Z$9:$Z$678,Z94)&gt;1),"Téléphone",IF(AND(AA94&lt;&gt;"",COUNTIFS($AA$9:$AA$678,AA94)&gt;1),"Site web","")))</x:f>
        <x:v>Site web</x:v>
      </x:c>
      <x:c r="J94" s="33" t="str">
        <x:v>Star Oil CBA</x:v>
      </x:c>
      <x:c r="K94" s="33" t="str">
        <x:v>Autres</x:v>
      </x:c>
      <x:c r="L94" s="33" t="str">
        <x:v>Autres services</x:v>
      </x:c>
      <x:c r="M94" s="33" t="str">
        <x:v>Conakry (à vérifier)</x:v>
      </x:c>
      <x:c r="N94" s="33" t="str"/>
      <x:c r="O94" s="33" t="str"/>
      <x:c r="P94" s="33" t="str"/>
      <x:c r="Q94" s="33" t="str"/>
      <x:c r="R94" s="33" t="str">
        <x:v>http://www.staroilgroup.com</x:v>
      </x:c>
      <x:c r="S94" s="33" t="str"/>
      <x:c r="T94" s="35" t="n">
        <x:v>9.6796386</x:v>
      </x:c>
      <x:c r="U94" s="35" t="n">
        <x:v>-13.5157735</x:v>
      </x:c>
      <x:c r="V94" s="33" t="str">
        <x:v>https://www.openstreetmap.org/way/541195567</x:v>
      </x:c>
      <x:c r="W94" s="33" t="str">
        <x:v>way/541195567</x:v>
      </x:c>
      <x:c r="X94" s="33" t="str">
        <x:v>review_required</x:v>
      </x:c>
      <x:c r="Y94" s="33" t="str">
        <x:v>star oil cba|conakry a verifier</x:v>
      </x:c>
      <x:c r="Z94" s="33" t="str"/>
      <x:c r="AA94" s="33" t="str">
        <x:v>staroilgroup.com</x:v>
      </x:c>
    </x:row>
    <x:row r="95">
      <x:c r="A95" s="30" t="str">
        <x:v>À vérifier</x:v>
      </x:c>
      <x:c r="B95" s="30" t="str"/>
      <x:c r="C95" s="31"/>
      <x:c r="D95" s="30" t="str">
        <x:v>Non vérifié</x:v>
      </x:c>
      <x:c r="E95" s="30" t="str"/>
      <x:c r="F95" s="30" t="str"/>
      <x:c r="G95" s="32" t="str"/>
      <x:c r="H95" s="33" t="str">
        <x:f>IF(I95&lt;&gt;"","Doublon possible","")</x:f>
        <x:v>Doublon possible</x:v>
      </x:c>
      <x:c r="I95" s="33" t="str">
        <x:f>IF(COUNTIFS($Y$9:$Y$678,Y95)&gt;1,"Nom + ville",IF(AND(Z95&lt;&gt;"",COUNTIFS($Z$9:$Z$678,Z95)&gt;1),"Téléphone",IF(AND(AA95&lt;&gt;"",COUNTIFS($AA$9:$AA$678,AA95)&gt;1),"Site web","")))</x:f>
        <x:v>Site web</x:v>
      </x:c>
      <x:c r="J95" s="33" t="str">
        <x:v>Star Oil Gbessia</x:v>
      </x:c>
      <x:c r="K95" s="33" t="str">
        <x:v>Autres</x:v>
      </x:c>
      <x:c r="L95" s="33" t="str">
        <x:v>Autres services</x:v>
      </x:c>
      <x:c r="M95" s="33" t="str">
        <x:v>Conakry (à vérifier)</x:v>
      </x:c>
      <x:c r="N95" s="33" t="str"/>
      <x:c r="O95" s="33" t="str"/>
      <x:c r="P95" s="33" t="str"/>
      <x:c r="Q95" s="33" t="str"/>
      <x:c r="R95" s="33" t="str">
        <x:v>http://www.staroilgroup.com</x:v>
      </x:c>
      <x:c r="S95" s="33" t="str"/>
      <x:c r="T95" s="35" t="n">
        <x:v>9.5791578</x:v>
      </x:c>
      <x:c r="U95" s="35" t="n">
        <x:v>-13.6240181</x:v>
      </x:c>
      <x:c r="V95" s="33" t="str">
        <x:v>https://www.openstreetmap.org/node/8416285717</x:v>
      </x:c>
      <x:c r="W95" s="33" t="str">
        <x:v>node/8416285717</x:v>
      </x:c>
      <x:c r="X95" s="33" t="str">
        <x:v>review_required</x:v>
      </x:c>
      <x:c r="Y95" s="33" t="str">
        <x:v>star oil gbessia|conakry a verifier</x:v>
      </x:c>
      <x:c r="Z95" s="33" t="str"/>
      <x:c r="AA95" s="33" t="str">
        <x:v>staroilgroup.com</x:v>
      </x:c>
    </x:row>
    <x:row r="96">
      <x:c r="A96" s="30" t="str">
        <x:v>À vérifier</x:v>
      </x:c>
      <x:c r="B96" s="30" t="str"/>
      <x:c r="C96" s="31"/>
      <x:c r="D96" s="30" t="str">
        <x:v>Non vérifié</x:v>
      </x:c>
      <x:c r="E96" s="30" t="str"/>
      <x:c r="F96" s="30" t="str"/>
      <x:c r="G96" s="32" t="str"/>
      <x:c r="H96" s="33" t="str">
        <x:f>IF(I96&lt;&gt;"","Doublon possible","")</x:f>
      </x:c>
      <x:c r="I96" s="33" t="str">
        <x:f>IF(COUNTIFS($Y$9:$Y$678,Y96)&gt;1,"Nom + ville",IF(AND(Z96&lt;&gt;"",COUNTIFS($Z$9:$Z$678,Z96)&gt;1),"Téléphone",IF(AND(AA96&lt;&gt;"",COUNTIFS($AA$9:$AA$678,AA96)&gt;1),"Site web","")))</x:f>
      </x:c>
      <x:c r="J96" s="33" t="str">
        <x:v>Star Oil Gbessia T2</x:v>
      </x:c>
      <x:c r="K96" s="33" t="str">
        <x:v>Autres</x:v>
      </x:c>
      <x:c r="L96" s="33" t="str">
        <x:v>Autres services</x:v>
      </x:c>
      <x:c r="M96" s="33" t="str">
        <x:v>Conakry (à vérifier)</x:v>
      </x:c>
      <x:c r="N96" s="33" t="str"/>
      <x:c r="O96" s="33" t="str"/>
      <x:c r="P96" s="33" t="str"/>
      <x:c r="Q96" s="33" t="str"/>
      <x:c r="R96" s="33" t="str">
        <x:v>http://wwww.staroilgroup.com</x:v>
      </x:c>
      <x:c r="S96" s="33" t="str"/>
      <x:c r="T96" s="35" t="n">
        <x:v>9.5791535</x:v>
      </x:c>
      <x:c r="U96" s="35" t="n">
        <x:v>-13.624029</x:v>
      </x:c>
      <x:c r="V96" s="33" t="str">
        <x:v>https://www.openstreetmap.org/node/8416167817</x:v>
      </x:c>
      <x:c r="W96" s="33" t="str">
        <x:v>node/8416167817</x:v>
      </x:c>
      <x:c r="X96" s="33" t="str">
        <x:v>review_required</x:v>
      </x:c>
      <x:c r="Y96" s="33" t="str">
        <x:v>star oil gbessia t2|conakry a verifier</x:v>
      </x:c>
      <x:c r="Z96" s="33" t="str"/>
      <x:c r="AA96" s="33" t="str">
        <x:v>wwww.staroilgroup.com</x:v>
      </x:c>
    </x:row>
    <x:row r="97">
      <x:c r="A97" s="30" t="str">
        <x:v>À vérifier</x:v>
      </x:c>
      <x:c r="B97" s="30" t="str"/>
      <x:c r="C97" s="31"/>
      <x:c r="D97" s="30" t="str">
        <x:v>Non vérifié</x:v>
      </x:c>
      <x:c r="E97" s="30" t="str"/>
      <x:c r="F97" s="30" t="str"/>
      <x:c r="G97" s="32" t="str"/>
      <x:c r="H97" s="33" t="str">
        <x:f>IF(I97&lt;&gt;"","Doublon possible","")</x:f>
        <x:v>Doublon possible</x:v>
      </x:c>
      <x:c r="I97" s="33" t="str">
        <x:f>IF(COUNTIFS($Y$9:$Y$678,Y97)&gt;1,"Nom + ville",IF(AND(Z97&lt;&gt;"",COUNTIFS($Z$9:$Z$678,Z97)&gt;1),"Téléphone",IF(AND(AA97&lt;&gt;"",COUNTIFS($AA$9:$AA$678,AA97)&gt;1),"Site web","")))</x:f>
        <x:v>Site web</x:v>
      </x:c>
      <x:c r="J97" s="33" t="str">
        <x:v>Star Oil Kissoso</x:v>
      </x:c>
      <x:c r="K97" s="33" t="str">
        <x:v>Autres</x:v>
      </x:c>
      <x:c r="L97" s="33" t="str">
        <x:v>Autres services</x:v>
      </x:c>
      <x:c r="M97" s="33" t="str">
        <x:v>Conakry (à vérifier)</x:v>
      </x:c>
      <x:c r="N97" s="33" t="str"/>
      <x:c r="O97" s="33" t="str"/>
      <x:c r="P97" s="33" t="str"/>
      <x:c r="Q97" s="33" t="str"/>
      <x:c r="R97" s="33" t="str">
        <x:v>http://www.staroilgroup.com</x:v>
      </x:c>
      <x:c r="S97" s="33" t="str"/>
      <x:c r="T97" s="35" t="n">
        <x:v>9.6355607</x:v>
      </x:c>
      <x:c r="U97" s="35" t="n">
        <x:v>-13.5703599</x:v>
      </x:c>
      <x:c r="V97" s="33" t="str">
        <x:v>https://www.openstreetmap.org/node/8416285817</x:v>
      </x:c>
      <x:c r="W97" s="33" t="str">
        <x:v>node/8416285817</x:v>
      </x:c>
      <x:c r="X97" s="33" t="str">
        <x:v>review_required</x:v>
      </x:c>
      <x:c r="Y97" s="33" t="str">
        <x:v>star oil kissoso|conakry a verifier</x:v>
      </x:c>
      <x:c r="Z97" s="33" t="str"/>
      <x:c r="AA97" s="33" t="str">
        <x:v>staroilgroup.com</x:v>
      </x:c>
    </x:row>
    <x:row r="98">
      <x:c r="A98" s="30" t="str">
        <x:v>À vérifier</x:v>
      </x:c>
      <x:c r="B98" s="30" t="str"/>
      <x:c r="C98" s="31"/>
      <x:c r="D98" s="30" t="str">
        <x:v>Non vérifié</x:v>
      </x:c>
      <x:c r="E98" s="30" t="str"/>
      <x:c r="F98" s="30" t="str"/>
      <x:c r="G98" s="32" t="str"/>
      <x:c r="H98" s="33" t="str">
        <x:f>IF(I98&lt;&gt;"","Doublon possible","")</x:f>
        <x:v>Doublon possible</x:v>
      </x:c>
      <x:c r="I98" s="33" t="str">
        <x:f>IF(COUNTIFS($Y$9:$Y$678,Y98)&gt;1,"Nom + ville",IF(AND(Z98&lt;&gt;"",COUNTIFS($Z$9:$Z$678,Z98)&gt;1),"Téléphone",IF(AND(AA98&lt;&gt;"",COUNTIFS($AA$9:$AA$678,AA98)&gt;1),"Site web","")))</x:f>
        <x:v>Site web</x:v>
      </x:c>
      <x:c r="J98" s="33" t="str">
        <x:v>Star Oil Kountiyah</x:v>
      </x:c>
      <x:c r="K98" s="33" t="str">
        <x:v>Autres</x:v>
      </x:c>
      <x:c r="L98" s="33" t="str">
        <x:v>Autres services</x:v>
      </x:c>
      <x:c r="M98" s="33" t="str">
        <x:v>Conakry (à vérifier)</x:v>
      </x:c>
      <x:c r="N98" s="33" t="str"/>
      <x:c r="O98" s="33" t="str"/>
      <x:c r="P98" s="33" t="str"/>
      <x:c r="Q98" s="33" t="str"/>
      <x:c r="R98" s="33" t="str">
        <x:v>http://www.staroilgroup.com</x:v>
      </x:c>
      <x:c r="S98" s="33" t="str"/>
      <x:c r="T98" s="35" t="n">
        <x:v>9.6721704</x:v>
      </x:c>
      <x:c r="U98" s="35" t="n">
        <x:v>-13.5198205</x:v>
      </x:c>
      <x:c r="V98" s="33" t="str">
        <x:v>https://www.openstreetmap.org/node/8416322717</x:v>
      </x:c>
      <x:c r="W98" s="33" t="str">
        <x:v>node/8416322717</x:v>
      </x:c>
      <x:c r="X98" s="33" t="str">
        <x:v>review_required</x:v>
      </x:c>
      <x:c r="Y98" s="33" t="str">
        <x:v>star oil kountiyah|conakry a verifier</x:v>
      </x:c>
      <x:c r="Z98" s="33" t="str"/>
      <x:c r="AA98" s="33" t="str">
        <x:v>staroilgroup.com</x:v>
      </x:c>
    </x:row>
    <x:row r="99">
      <x:c r="A99" s="30" t="str">
        <x:v>À vérifier</x:v>
      </x:c>
      <x:c r="B99" s="30" t="str"/>
      <x:c r="C99" s="31"/>
      <x:c r="D99" s="30" t="str">
        <x:v>Non vérifié</x:v>
      </x:c>
      <x:c r="E99" s="30" t="str"/>
      <x:c r="F99" s="30" t="str"/>
      <x:c r="G99" s="32" t="str"/>
      <x:c r="H99" s="33" t="str">
        <x:f>IF(I99&lt;&gt;"","Doublon possible","")</x:f>
        <x:v>Doublon possible</x:v>
      </x:c>
      <x:c r="I99" s="33" t="str">
        <x:f>IF(COUNTIFS($Y$9:$Y$678,Y99)&gt;1,"Nom + ville",IF(AND(Z99&lt;&gt;"",COUNTIFS($Z$9:$Z$678,Z99)&gt;1),"Téléphone",IF(AND(AA99&lt;&gt;"",COUNTIFS($AA$9:$AA$678,AA99)&gt;1),"Site web","")))</x:f>
        <x:v>Site web</x:v>
      </x:c>
      <x:c r="J99" s="33" t="str">
        <x:v>Star Oil Lansannayah Barrage</x:v>
      </x:c>
      <x:c r="K99" s="33" t="str">
        <x:v>Autres</x:v>
      </x:c>
      <x:c r="L99" s="33" t="str">
        <x:v>Autres services</x:v>
      </x:c>
      <x:c r="M99" s="33" t="str">
        <x:v>Conakry (à vérifier)</x:v>
      </x:c>
      <x:c r="N99" s="33" t="str"/>
      <x:c r="O99" s="33" t="str"/>
      <x:c r="P99" s="33" t="str"/>
      <x:c r="Q99" s="33" t="str"/>
      <x:c r="R99" s="33" t="str">
        <x:v>http://www.staroilgroup.com</x:v>
      </x:c>
      <x:c r="S99" s="33" t="str"/>
      <x:c r="T99" s="35" t="n">
        <x:v>9.6686665</x:v>
      </x:c>
      <x:c r="U99" s="35" t="n">
        <x:v>-13.5243108</x:v>
      </x:c>
      <x:c r="V99" s="33" t="str">
        <x:v>https://www.openstreetmap.org/node/5656619890</x:v>
      </x:c>
      <x:c r="W99" s="33" t="str">
        <x:v>node/5656619890</x:v>
      </x:c>
      <x:c r="X99" s="33" t="str">
        <x:v>review_required</x:v>
      </x:c>
      <x:c r="Y99" s="33" t="str">
        <x:v>star oil lansannayah barrage|conakry a verifier</x:v>
      </x:c>
      <x:c r="Z99" s="33" t="str"/>
      <x:c r="AA99" s="33" t="str">
        <x:v>staroilgroup.com</x:v>
      </x:c>
    </x:row>
    <x:row r="100">
      <x:c r="A100" s="30" t="str">
        <x:v>À vérifier</x:v>
      </x:c>
      <x:c r="B100" s="30" t="str"/>
      <x:c r="C100" s="31"/>
      <x:c r="D100" s="30" t="str">
        <x:v>Non vérifié</x:v>
      </x:c>
      <x:c r="E100" s="30" t="str"/>
      <x:c r="F100" s="30" t="str"/>
      <x:c r="G100" s="32" t="str"/>
      <x:c r="H100" s="33" t="str">
        <x:f>IF(I100&lt;&gt;"","Doublon possible","")</x:f>
      </x:c>
      <x:c r="I100" s="33" t="str">
        <x:f>IF(COUNTIFS($Y$9:$Y$678,Y100)&gt;1,"Nom + ville",IF(AND(Z100&lt;&gt;"",COUNTIFS($Z$9:$Z$678,Z100)&gt;1),"Téléphone",IF(AND(AA100&lt;&gt;"",COUNTIFS($AA$9:$AA$678,AA100)&gt;1),"Site web","")))</x:f>
      </x:c>
      <x:c r="J100" s="33" t="str">
        <x:v>Villa 184</x:v>
      </x:c>
      <x:c r="K100" s="33" t="str">
        <x:v>Autres</x:v>
      </x:c>
      <x:c r="L100" s="33" t="str">
        <x:v>Autres services</x:v>
      </x:c>
      <x:c r="M100" s="33" t="str">
        <x:v>Conakry (à vérifier)</x:v>
      </x:c>
      <x:c r="N100" s="33" t="str"/>
      <x:c r="O100" s="33" t="str">
        <x:v>184 Rue du camp</x:v>
      </x:c>
      <x:c r="P100" s="33" t="str"/>
      <x:c r="Q100" s="33" t="str"/>
      <x:c r="R100" s="33" t="str"/>
      <x:c r="S100" s="33" t="str"/>
      <x:c r="T100" s="35" t="n">
        <x:v>9.5939892</x:v>
      </x:c>
      <x:c r="U100" s="35" t="n">
        <x:v>-13.6064858</x:v>
      </x:c>
      <x:c r="V100" s="33" t="str">
        <x:v>https://www.openstreetmap.org/node/5197174621</x:v>
      </x:c>
      <x:c r="W100" s="33" t="str">
        <x:v>node/5197174621</x:v>
      </x:c>
      <x:c r="X100" s="33" t="str">
        <x:v>review_required</x:v>
      </x:c>
      <x:c r="Y100" s="33" t="str">
        <x:v>villa 184|conakry a verifier</x:v>
      </x:c>
      <x:c r="Z100" s="33" t="str"/>
      <x:c r="AA100" s="33" t="str"/>
    </x:row>
    <x:row r="101">
      <x:c r="A101" s="30" t="str">
        <x:v>À vérifier</x:v>
      </x:c>
      <x:c r="B101" s="30" t="str"/>
      <x:c r="C101" s="31"/>
      <x:c r="D101" s="30" t="str">
        <x:v>Non vérifié</x:v>
      </x:c>
      <x:c r="E101" s="30" t="str"/>
      <x:c r="F101" s="30" t="str"/>
      <x:c r="G101" s="32" t="str"/>
      <x:c r="H101" s="33" t="str">
        <x:f>IF(I101&lt;&gt;"","Doublon possible","")</x:f>
      </x:c>
      <x:c r="I101" s="33" t="str">
        <x:f>IF(COUNTIFS($Y$9:$Y$678,Y101)&gt;1,"Nom + ville",IF(AND(Z101&lt;&gt;"",COUNTIFS($Z$9:$Z$678,Z101)&gt;1),"Téléphone",IF(AND(AA101&lt;&gt;"",COUNTIFS($AA$9:$AA$678,AA101)&gt;1),"Site web","")))</x:f>
      </x:c>
      <x:c r="J101" s="33" t="str">
        <x:v>Village des jeunes</x:v>
      </x:c>
      <x:c r="K101" s="33" t="str">
        <x:v>Autres</x:v>
      </x:c>
      <x:c r="L101" s="33" t="str">
        <x:v>Autres services</x:v>
      </x:c>
      <x:c r="M101" s="33" t="str">
        <x:v>Conakry (à vérifier)</x:v>
      </x:c>
      <x:c r="N101" s="33" t="str"/>
      <x:c r="O101" s="33" t="str"/>
      <x:c r="P101" s="33" t="str">
        <x:v>+224624654545</x:v>
      </x:c>
      <x:c r="Q101" s="33" t="str"/>
      <x:c r="R101" s="33" t="str"/>
      <x:c r="S101" s="33" t="str"/>
      <x:c r="T101" s="35" t="n">
        <x:v>9.6713644</x:v>
      </x:c>
      <x:c r="U101" s="35" t="n">
        <x:v>-13.5842314</x:v>
      </x:c>
      <x:c r="V101" s="33" t="str">
        <x:v>https://www.openstreetmap.org/node/7357075339</x:v>
      </x:c>
      <x:c r="W101" s="33" t="str">
        <x:v>node/7357075339</x:v>
      </x:c>
      <x:c r="X101" s="33" t="str">
        <x:v>review_required</x:v>
      </x:c>
      <x:c r="Y101" s="33" t="str">
        <x:v>village des jeunes|conakry a verifier</x:v>
      </x:c>
      <x:c r="Z101" s="33" t="str">
        <x:v>224624654545</x:v>
      </x:c>
      <x:c r="AA101" s="33" t="str"/>
    </x:row>
    <x:row r="102">
      <x:c r="A102" s="30" t="str">
        <x:v>À vérifier</x:v>
      </x:c>
      <x:c r="B102" s="30" t="str"/>
      <x:c r="C102" s="31"/>
      <x:c r="D102" s="30" t="str">
        <x:v>Non vérifié</x:v>
      </x:c>
      <x:c r="E102" s="30" t="str"/>
      <x:c r="F102" s="30" t="str"/>
      <x:c r="G102" s="32" t="str"/>
      <x:c r="H102" s="33" t="str">
        <x:f>IF(I102&lt;&gt;"","Doublon possible","")</x:f>
      </x:c>
      <x:c r="I102" s="33" t="str">
        <x:f>IF(COUNTIFS($Y$9:$Y$678,Y102)&gt;1,"Nom + ville",IF(AND(Z102&lt;&gt;"",COUNTIFS($Z$9:$Z$678,Z102)&gt;1),"Téléphone",IF(AND(AA102&lt;&gt;"",COUNTIFS($AA$9:$AA$678,AA102)&gt;1),"Site web","")))</x:f>
      </x:c>
      <x:c r="J102" s="33" t="str">
        <x:v>Église assemblée de Dieu</x:v>
      </x:c>
      <x:c r="K102" s="33" t="str">
        <x:v>Autres</x:v>
      </x:c>
      <x:c r="L102" s="33" t="str">
        <x:v>Autres services</x:v>
      </x:c>
      <x:c r="M102" s="33" t="str">
        <x:v>Conakry (à vérifier)</x:v>
      </x:c>
      <x:c r="N102" s="33" t="str"/>
      <x:c r="O102" s="33" t="str"/>
      <x:c r="P102" s="33" t="str">
        <x:v>664289825</x:v>
      </x:c>
      <x:c r="Q102" s="33" t="str">
        <x:v>eadtaouyah@yahoo.fr</x:v>
      </x:c>
      <x:c r="R102" s="33" t="str"/>
      <x:c r="S102" s="33" t="str"/>
      <x:c r="T102" s="35" t="n">
        <x:v>9.5801299</x:v>
      </x:c>
      <x:c r="U102" s="35" t="n">
        <x:v>-13.6593296</x:v>
      </x:c>
      <x:c r="V102" s="33" t="str">
        <x:v>https://www.openstreetmap.org/node/5550524720</x:v>
      </x:c>
      <x:c r="W102" s="33" t="str">
        <x:v>node/5550524720</x:v>
      </x:c>
      <x:c r="X102" s="33" t="str">
        <x:v>review_required</x:v>
      </x:c>
      <x:c r="Y102" s="33" t="str">
        <x:v>eglise assemblee de dieu|conakry a verifier</x:v>
      </x:c>
      <x:c r="Z102" s="33" t="str">
        <x:v>224664289825</x:v>
      </x:c>
      <x:c r="AA102" s="33" t="str"/>
    </x:row>
    <x:row r="103">
      <x:c r="A103" s="30" t="str">
        <x:v>À vérifier</x:v>
      </x:c>
      <x:c r="B103" s="30" t="str"/>
      <x:c r="C103" s="31"/>
      <x:c r="D103" s="30" t="str">
        <x:v>Non vérifié</x:v>
      </x:c>
      <x:c r="E103" s="30" t="str"/>
      <x:c r="F103" s="30" t="str"/>
      <x:c r="G103" s="32" t="str"/>
      <x:c r="H103" s="33" t="str">
        <x:f>IF(I103&lt;&gt;"","Doublon possible","")</x:f>
      </x:c>
      <x:c r="I103" s="33" t="str">
        <x:f>IF(COUNTIFS($Y$9:$Y$678,Y103)&gt;1,"Nom + ville",IF(AND(Z103&lt;&gt;"",COUNTIFS($Z$9:$Z$678,Z103)&gt;1),"Téléphone",IF(AND(AA103&lt;&gt;"",COUNTIFS($AA$9:$AA$678,AA103)&gt;1),"Site web","")))</x:f>
      </x:c>
      <x:c r="J103" s="33" t="str">
        <x:v>Église Mission de la bonne nouvelle</x:v>
      </x:c>
      <x:c r="K103" s="33" t="str">
        <x:v>Autres</x:v>
      </x:c>
      <x:c r="L103" s="33" t="str">
        <x:v>Autres services</x:v>
      </x:c>
      <x:c r="M103" s="33" t="str">
        <x:v>Conakry (à vérifier)</x:v>
      </x:c>
      <x:c r="N103" s="33" t="str"/>
      <x:c r="O103" s="33" t="str"/>
      <x:c r="P103" s="33" t="str">
        <x:v>+224666939999</x:v>
      </x:c>
      <x:c r="Q103" s="33" t="str"/>
      <x:c r="R103" s="33" t="str"/>
      <x:c r="S103" s="33" t="str"/>
      <x:c r="T103" s="35" t="n">
        <x:v>9.6384699</x:v>
      </x:c>
      <x:c r="U103" s="35" t="n">
        <x:v>-13.615421</x:v>
      </x:c>
      <x:c r="V103" s="33" t="str">
        <x:v>https://www.openstreetmap.org/node/6044919130</x:v>
      </x:c>
      <x:c r="W103" s="33" t="str">
        <x:v>node/6044919130</x:v>
      </x:c>
      <x:c r="X103" s="33" t="str">
        <x:v>review_required</x:v>
      </x:c>
      <x:c r="Y103" s="33" t="str">
        <x:v>eglise mission de la bonne nouvelle|conakry a verifier</x:v>
      </x:c>
      <x:c r="Z103" s="33" t="str">
        <x:v>224666939999</x:v>
      </x:c>
      <x:c r="AA103" s="33" t="str"/>
    </x:row>
    <x:row r="104">
      <x:c r="A104" s="30" t="str">
        <x:v>À vérifier</x:v>
      </x:c>
      <x:c r="B104" s="30" t="str"/>
      <x:c r="C104" s="31"/>
      <x:c r="D104" s="30" t="str">
        <x:v>Non vérifié</x:v>
      </x:c>
      <x:c r="E104" s="30" t="str"/>
      <x:c r="F104" s="30" t="str"/>
      <x:c r="G104" s="32" t="str"/>
      <x:c r="H104" s="33" t="str">
        <x:f>IF(I104&lt;&gt;"","Doublon possible","")</x:f>
      </x:c>
      <x:c r="I104" s="33" t="str">
        <x:f>IF(COUNTIFS($Y$9:$Y$678,Y104)&gt;1,"Nom + ville",IF(AND(Z104&lt;&gt;"",COUNTIFS($Z$9:$Z$678,Z104)&gt;1),"Téléphone",IF(AND(AA104&lt;&gt;"",COUNTIFS($AA$9:$AA$678,AA104)&gt;1),"Site web","")))</x:f>
      </x:c>
      <x:c r="J104" s="33" t="str">
        <x:v>Afriland First Bank</x:v>
      </x:c>
      <x:c r="K104" s="33" t="str">
        <x:v>Banques et finances</x:v>
      </x:c>
      <x:c r="L104" s="33" t="str">
        <x:v>Banques</x:v>
      </x:c>
      <x:c r="M104" s="33" t="str">
        <x:v>Conakry (à vérifier)</x:v>
      </x:c>
      <x:c r="N104" s="33" t="str"/>
      <x:c r="O104" s="33" t="str"/>
      <x:c r="P104" s="33" t="str"/>
      <x:c r="Q104" s="33" t="str"/>
      <x:c r="R104" s="33" t="str">
        <x:v>https://www.afrilandfirstbank.com/</x:v>
      </x:c>
      <x:c r="S104" s="33" t="str"/>
      <x:c r="T104" s="35" t="n">
        <x:v>9.5112446</x:v>
      </x:c>
      <x:c r="U104" s="35" t="n">
        <x:v>-13.7068378</x:v>
      </x:c>
      <x:c r="V104" s="33" t="str">
        <x:v>https://www.openstreetmap.org/way/441774562</x:v>
      </x:c>
      <x:c r="W104" s="33" t="str">
        <x:v>way/441774562</x:v>
      </x:c>
      <x:c r="X104" s="33" t="str">
        <x:v>review_required</x:v>
      </x:c>
      <x:c r="Y104" s="33" t="str">
        <x:v>afriland first bank|conakry a verifier</x:v>
      </x:c>
      <x:c r="Z104" s="33" t="str"/>
      <x:c r="AA104" s="33" t="str">
        <x:v>afrilandfirstbank.com</x:v>
      </x:c>
    </x:row>
    <x:row r="105">
      <x:c r="A105" s="30" t="str">
        <x:v>À vérifier</x:v>
      </x:c>
      <x:c r="B105" s="30" t="str"/>
      <x:c r="C105" s="31"/>
      <x:c r="D105" s="30" t="str">
        <x:v>Non vérifié</x:v>
      </x:c>
      <x:c r="E105" s="30" t="str"/>
      <x:c r="F105" s="30" t="str"/>
      <x:c r="G105" s="32" t="str"/>
      <x:c r="H105" s="33" t="str">
        <x:f>IF(I105&lt;&gt;"","Doublon possible","")</x:f>
        <x:v>Doublon possible</x:v>
      </x:c>
      <x:c r="I105" s="33" t="str">
        <x:f>IF(COUNTIFS($Y$9:$Y$678,Y105)&gt;1,"Nom + ville",IF(AND(Z105&lt;&gt;"",COUNTIFS($Z$9:$Z$678,Z105)&gt;1),"Téléphone",IF(AND(AA105&lt;&gt;"",COUNTIFS($AA$9:$AA$678,AA105)&gt;1),"Site web","")))</x:f>
        <x:v>Site web</x:v>
      </x:c>
      <x:c r="J105" s="33" t="str">
        <x:v>Banque Islamique de Guinée</x:v>
      </x:c>
      <x:c r="K105" s="33" t="str">
        <x:v>Banques et finances</x:v>
      </x:c>
      <x:c r="L105" s="33" t="str">
        <x:v>Banques</x:v>
      </x:c>
      <x:c r="M105" s="33" t="str">
        <x:v>Conakry (à vérifier)</x:v>
      </x:c>
      <x:c r="N105" s="33" t="str"/>
      <x:c r="O105" s="33" t="str"/>
      <x:c r="P105" s="33" t="str">
        <x:v>+224669666668</x:v>
      </x:c>
      <x:c r="Q105" s="33" t="str">
        <x:v>contact@big-bank.com</x:v>
      </x:c>
      <x:c r="R105" s="33" t="str">
        <x:v>www.big-bank.com</x:v>
      </x:c>
      <x:c r="S105" s="33" t="str"/>
      <x:c r="T105" s="35" t="n">
        <x:v>9.5428811</x:v>
      </x:c>
      <x:c r="U105" s="35" t="n">
        <x:v>-13.6630605</x:v>
      </x:c>
      <x:c r="V105" s="33" t="str">
        <x:v>https://www.openstreetmap.org/node/5946411571</x:v>
      </x:c>
      <x:c r="W105" s="33" t="str">
        <x:v>node/5946411571</x:v>
      </x:c>
      <x:c r="X105" s="33" t="str">
        <x:v>review_required</x:v>
      </x:c>
      <x:c r="Y105" s="33" t="str">
        <x:v>banque islamique de guinee|conakry a verifier</x:v>
      </x:c>
      <x:c r="Z105" s="33" t="str">
        <x:v>224669666668</x:v>
      </x:c>
      <x:c r="AA105" s="33" t="str">
        <x:v>big-bank.com</x:v>
      </x:c>
    </x:row>
    <x:row r="106">
      <x:c r="A106" s="30" t="str">
        <x:v>À vérifier</x:v>
      </x:c>
      <x:c r="B106" s="30" t="str"/>
      <x:c r="C106" s="31"/>
      <x:c r="D106" s="30" t="str">
        <x:v>Non vérifié</x:v>
      </x:c>
      <x:c r="E106" s="30" t="str"/>
      <x:c r="F106" s="30" t="str"/>
      <x:c r="G106" s="32" t="str"/>
      <x:c r="H106" s="33" t="str">
        <x:f>IF(I106&lt;&gt;"","Doublon possible","")</x:f>
      </x:c>
      <x:c r="I106" s="33" t="str">
        <x:f>IF(COUNTIFS($Y$9:$Y$678,Y106)&gt;1,"Nom + ville",IF(AND(Z106&lt;&gt;"",COUNTIFS($Z$9:$Z$678,Z106)&gt;1),"Téléphone",IF(AND(AA106&lt;&gt;"",COUNTIFS($AA$9:$AA$678,AA106)&gt;1),"Site web","")))</x:f>
      </x:c>
      <x:c r="J106" s="33" t="str">
        <x:v>Banque islamique de Guinée Cimenterie</x:v>
      </x:c>
      <x:c r="K106" s="33" t="str">
        <x:v>Banques et finances</x:v>
      </x:c>
      <x:c r="L106" s="33" t="str">
        <x:v>Banques</x:v>
      </x:c>
      <x:c r="M106" s="33" t="str">
        <x:v>Conakry (à vérifier)</x:v>
      </x:c>
      <x:c r="N106" s="33" t="str"/>
      <x:c r="O106" s="33" t="str">
        <x:v>Transversale 9</x:v>
      </x:c>
      <x:c r="P106" s="33" t="str"/>
      <x:c r="Q106" s="33" t="str"/>
      <x:c r="R106" s="33" t="str"/>
      <x:c r="S106" s="33" t="str"/>
      <x:c r="T106" s="35" t="n">
        <x:v>9.6799388</x:v>
      </x:c>
      <x:c r="U106" s="35" t="n">
        <x:v>-13.5345862</x:v>
      </x:c>
      <x:c r="V106" s="33" t="str">
        <x:v>https://www.openstreetmap.org/node/8529802617</x:v>
      </x:c>
      <x:c r="W106" s="33" t="str">
        <x:v>node/8529802617</x:v>
      </x:c>
      <x:c r="X106" s="33" t="str">
        <x:v>review_required</x:v>
      </x:c>
      <x:c r="Y106" s="33" t="str">
        <x:v>banque islamique de guinee cimenterie|conakry a verifier</x:v>
      </x:c>
      <x:c r="Z106" s="33" t="str"/>
      <x:c r="AA106" s="33" t="str"/>
    </x:row>
    <x:row r="107">
      <x:c r="A107" s="30" t="str">
        <x:v>À vérifier</x:v>
      </x:c>
      <x:c r="B107" s="30" t="str"/>
      <x:c r="C107" s="31"/>
      <x:c r="D107" s="30" t="str">
        <x:v>Non vérifié</x:v>
      </x:c>
      <x:c r="E107" s="30" t="str"/>
      <x:c r="F107" s="30" t="str"/>
      <x:c r="G107" s="32" t="str"/>
      <x:c r="H107" s="33" t="str">
        <x:f>IF(I107&lt;&gt;"","Doublon possible","")</x:f>
        <x:v>Doublon possible</x:v>
      </x:c>
      <x:c r="I107" s="33" t="str">
        <x:f>IF(COUNTIFS($Y$9:$Y$678,Y107)&gt;1,"Nom + ville",IF(AND(Z107&lt;&gt;"",COUNTIFS($Z$9:$Z$678,Z107)&gt;1),"Téléphone",IF(AND(AA107&lt;&gt;"",COUNTIFS($AA$9:$AA$678,AA107)&gt;1),"Site web","")))</x:f>
        <x:v>Site web</x:v>
      </x:c>
      <x:c r="J107" s="33" t="str">
        <x:v>Banque Islamique de Guinée Manquepas</x:v>
      </x:c>
      <x:c r="K107" s="33" t="str">
        <x:v>Banques et finances</x:v>
      </x:c>
      <x:c r="L107" s="33" t="str">
        <x:v>Banques</x:v>
      </x:c>
      <x:c r="M107" s="33" t="str">
        <x:v>Conakry (à vérifier)</x:v>
      </x:c>
      <x:c r="N107" s="33" t="str"/>
      <x:c r="O107" s="33" t="str">
        <x:v>Avenue de la République</x:v>
      </x:c>
      <x:c r="P107" s="33" t="str">
        <x:v>664666661</x:v>
      </x:c>
      <x:c r="Q107" s="33" t="str">
        <x:v>contact@big-bank.com</x:v>
      </x:c>
      <x:c r="R107" s="33" t="str">
        <x:v>www.big-bank.com</x:v>
      </x:c>
      <x:c r="S107" s="33" t="str"/>
      <x:c r="T107" s="35" t="n">
        <x:v>9.5085555</x:v>
      </x:c>
      <x:c r="U107" s="35" t="n">
        <x:v>-13.7100252</x:v>
      </x:c>
      <x:c r="V107" s="33" t="str">
        <x:v>https://www.openstreetmap.org/node/5597288971</x:v>
      </x:c>
      <x:c r="W107" s="33" t="str">
        <x:v>node/5597288971</x:v>
      </x:c>
      <x:c r="X107" s="33" t="str">
        <x:v>review_required</x:v>
      </x:c>
      <x:c r="Y107" s="33" t="str">
        <x:v>banque islamique de guinee manquepas|conakry a verifier</x:v>
      </x:c>
      <x:c r="Z107" s="33" t="str">
        <x:v>224664666661</x:v>
      </x:c>
      <x:c r="AA107" s="33" t="str">
        <x:v>big-bank.com</x:v>
      </x:c>
    </x:row>
    <x:row r="108">
      <x:c r="A108" s="30" t="str">
        <x:v>À vérifier</x:v>
      </x:c>
      <x:c r="B108" s="30" t="str"/>
      <x:c r="C108" s="31"/>
      <x:c r="D108" s="30" t="str">
        <x:v>Non vérifié</x:v>
      </x:c>
      <x:c r="E108" s="30" t="str"/>
      <x:c r="F108" s="30" t="str"/>
      <x:c r="G108" s="32" t="str"/>
      <x:c r="H108" s="33" t="str">
        <x:f>IF(I108&lt;&gt;"","Doublon possible","")</x:f>
      </x:c>
      <x:c r="I108" s="33" t="str">
        <x:f>IF(COUNTIFS($Y$9:$Y$678,Y108)&gt;1,"Nom + ville",IF(AND(Z108&lt;&gt;"",COUNTIFS($Z$9:$Z$678,Z108)&gt;1),"Téléphone",IF(AND(AA108&lt;&gt;"",COUNTIFS($AA$9:$AA$678,AA108)&gt;1),"Site web","")))</x:f>
      </x:c>
      <x:c r="J108" s="33" t="str">
        <x:v>Banque Nationale de Guinée</x:v>
      </x:c>
      <x:c r="K108" s="33" t="str">
        <x:v>Banques et finances</x:v>
      </x:c>
      <x:c r="L108" s="33" t="str">
        <x:v>Banques</x:v>
      </x:c>
      <x:c r="M108" s="33" t="str">
        <x:v>Conakry (à vérifier)</x:v>
      </x:c>
      <x:c r="N108" s="33" t="str"/>
      <x:c r="O108" s="33" t="str"/>
      <x:c r="P108" s="33" t="str">
        <x:v>+224628083780</x:v>
      </x:c>
      <x:c r="Q108" s="33" t="str">
        <x:v>bng@bng.gn.com</x:v>
      </x:c>
      <x:c r="R108" s="33" t="str">
        <x:v>www.bng-gn.com</x:v>
      </x:c>
      <x:c r="S108" s="33" t="str"/>
      <x:c r="T108" s="35" t="n">
        <x:v>9.5430087</x:v>
      </x:c>
      <x:c r="U108" s="35" t="n">
        <x:v>-13.6687217</x:v>
      </x:c>
      <x:c r="V108" s="33" t="str">
        <x:v>https://www.openstreetmap.org/node/5784054970</x:v>
      </x:c>
      <x:c r="W108" s="33" t="str">
        <x:v>node/5784054970</x:v>
      </x:c>
      <x:c r="X108" s="33" t="str">
        <x:v>review_required</x:v>
      </x:c>
      <x:c r="Y108" s="33" t="str">
        <x:v>banque nationale de guinee|conakry a verifier</x:v>
      </x:c>
      <x:c r="Z108" s="33" t="str">
        <x:v>224628083780</x:v>
      </x:c>
      <x:c r="AA108" s="33" t="str">
        <x:v>bng-gn.com</x:v>
      </x:c>
    </x:row>
    <x:row r="109">
      <x:c r="A109" s="30" t="str">
        <x:v>À vérifier</x:v>
      </x:c>
      <x:c r="B109" s="30" t="str"/>
      <x:c r="C109" s="31"/>
      <x:c r="D109" s="30" t="str">
        <x:v>Non vérifié</x:v>
      </x:c>
      <x:c r="E109" s="30" t="str"/>
      <x:c r="F109" s="30" t="str"/>
      <x:c r="G109" s="32" t="str"/>
      <x:c r="H109" s="33" t="str">
        <x:f>IF(I109&lt;&gt;"","Doublon possible","")</x:f>
      </x:c>
      <x:c r="I109" s="33" t="str">
        <x:f>IF(COUNTIFS($Y$9:$Y$678,Y109)&gt;1,"Nom + ville",IF(AND(Z109&lt;&gt;"",COUNTIFS($Z$9:$Z$678,Z109)&gt;1),"Téléphone",IF(AND(AA109&lt;&gt;"",COUNTIFS($AA$9:$AA$678,AA109)&gt;1),"Site web","")))</x:f>
      </x:c>
      <x:c r="J109" s="33" t="str">
        <x:v>Banque Populaire Maroco Guinéenne</x:v>
      </x:c>
      <x:c r="K109" s="33" t="str">
        <x:v>Banques et finances</x:v>
      </x:c>
      <x:c r="L109" s="33" t="str">
        <x:v>Banques</x:v>
      </x:c>
      <x:c r="M109" s="33" t="str">
        <x:v>Conakry (à vérifier)</x:v>
      </x:c>
      <x:c r="N109" s="33" t="str"/>
      <x:c r="O109" s="33" t="str"/>
      <x:c r="P109" s="33" t="str"/>
      <x:c r="Q109" s="33" t="str">
        <x:v>bpmgbank@gmail.com</x:v>
      </x:c>
      <x:c r="R109" s="33" t="str">
        <x:v>www.bpmg.net.gn</x:v>
      </x:c>
      <x:c r="S109" s="33" t="str"/>
      <x:c r="T109" s="35" t="n">
        <x:v>9.5428212</x:v>
      </x:c>
      <x:c r="U109" s="35" t="n">
        <x:v>-13.6694988</x:v>
      </x:c>
      <x:c r="V109" s="33" t="str">
        <x:v>https://www.openstreetmap.org/node/5784055753</x:v>
      </x:c>
      <x:c r="W109" s="33" t="str">
        <x:v>node/5784055753</x:v>
      </x:c>
      <x:c r="X109" s="33" t="str">
        <x:v>review_required</x:v>
      </x:c>
      <x:c r="Y109" s="33" t="str">
        <x:v>banque populaire maroco guineenne|conakry a verifier</x:v>
      </x:c>
      <x:c r="Z109" s="33" t="str"/>
      <x:c r="AA109" s="33" t="str">
        <x:v>bpmg.net.gn</x:v>
      </x:c>
    </x:row>
    <x:row r="110">
      <x:c r="A110" s="30" t="str">
        <x:v>À vérifier</x:v>
      </x:c>
      <x:c r="B110" s="30" t="str"/>
      <x:c r="C110" s="31"/>
      <x:c r="D110" s="30" t="str">
        <x:v>Non vérifié</x:v>
      </x:c>
      <x:c r="E110" s="30" t="str"/>
      <x:c r="F110" s="30" t="str"/>
      <x:c r="G110" s="32" t="str"/>
      <x:c r="H110" s="33" t="str">
        <x:f>IF(I110&lt;&gt;"","Doublon possible","")</x:f>
      </x:c>
      <x:c r="I110" s="33" t="str">
        <x:f>IF(COUNTIFS($Y$9:$Y$678,Y110)&gt;1,"Nom + ville",IF(AND(Z110&lt;&gt;"",COUNTIFS($Z$9:$Z$678,Z110)&gt;1),"Téléphone",IF(AND(AA110&lt;&gt;"",COUNTIFS($AA$9:$AA$678,AA110)&gt;1),"Site web","")))</x:f>
      </x:c>
      <x:c r="J110" s="33" t="str">
        <x:v>BICIGUI</x:v>
      </x:c>
      <x:c r="K110" s="33" t="str">
        <x:v>Banques et finances</x:v>
      </x:c>
      <x:c r="L110" s="33" t="str">
        <x:v>Banques</x:v>
      </x:c>
      <x:c r="M110" s="33" t="str">
        <x:v>CONAKRY</x:v>
      </x:c>
      <x:c r="N110" s="33" t="str"/>
      <x:c r="O110" s="33" t="str">
        <x:v>Dixinn Gare</x:v>
      </x:c>
      <x:c r="P110" s="33" t="str"/>
      <x:c r="Q110" s="33" t="str"/>
      <x:c r="R110" s="33" t="str"/>
      <x:c r="S110" s="33" t="str"/>
      <x:c r="T110" s="35" t="n">
        <x:v>9.5490317</x:v>
      </x:c>
      <x:c r="U110" s="35" t="n">
        <x:v>-13.660421</x:v>
      </x:c>
      <x:c r="V110" s="33" t="str">
        <x:v>https://www.openstreetmap.org/node/4495005867</x:v>
      </x:c>
      <x:c r="W110" s="33" t="str">
        <x:v>node/4495005867</x:v>
      </x:c>
      <x:c r="X110" s="33" t="str">
        <x:v>review_required</x:v>
      </x:c>
      <x:c r="Y110" s="33" t="str">
        <x:v>bicigui|conakry</x:v>
      </x:c>
      <x:c r="Z110" s="33" t="str"/>
      <x:c r="AA110" s="33" t="str"/>
    </x:row>
    <x:row r="111">
      <x:c r="A111" s="30" t="str">
        <x:v>À vérifier</x:v>
      </x:c>
      <x:c r="B111" s="30" t="str"/>
      <x:c r="C111" s="31"/>
      <x:c r="D111" s="30" t="str">
        <x:v>Non vérifié</x:v>
      </x:c>
      <x:c r="E111" s="30" t="str"/>
      <x:c r="F111" s="30" t="str"/>
      <x:c r="G111" s="32" t="str"/>
      <x:c r="H111" s="33" t="str">
        <x:f>IF(I111&lt;&gt;"","Doublon possible","")</x:f>
      </x:c>
      <x:c r="I111" s="33" t="str">
        <x:f>IF(COUNTIFS($Y$9:$Y$678,Y111)&gt;1,"Nom + ville",IF(AND(Z111&lt;&gt;"",COUNTIFS($Z$9:$Z$678,Z111)&gt;1),"Téléphone",IF(AND(AA111&lt;&gt;"",COUNTIFS($AA$9:$AA$678,AA111)&gt;1),"Site web","")))</x:f>
      </x:c>
      <x:c r="J111" s="33" t="str">
        <x:v>Caisse Populaire D'épargne CPECG Yètè Mali</x:v>
      </x:c>
      <x:c r="K111" s="33" t="str">
        <x:v>Banques et finances</x:v>
      </x:c>
      <x:c r="L111" s="33" t="str">
        <x:v>Banques</x:v>
      </x:c>
      <x:c r="M111" s="33" t="str">
        <x:v>Conakry (à vérifier)</x:v>
      </x:c>
      <x:c r="N111" s="33" t="str"/>
      <x:c r="O111" s="33" t="str"/>
      <x:c r="P111" s="33" t="str">
        <x:v>+224657666011</x:v>
      </x:c>
      <x:c r="Q111" s="33" t="str"/>
      <x:c r="R111" s="33" t="str"/>
      <x:c r="S111" s="33" t="str"/>
      <x:c r="T111" s="35" t="n">
        <x:v>9.6266179</x:v>
      </x:c>
      <x:c r="U111" s="35" t="n">
        <x:v>-13.5782692</x:v>
      </x:c>
      <x:c r="V111" s="33" t="str">
        <x:v>https://www.openstreetmap.org/node/6082096018</x:v>
      </x:c>
      <x:c r="W111" s="33" t="str">
        <x:v>node/6082096018</x:v>
      </x:c>
      <x:c r="X111" s="33" t="str">
        <x:v>review_required</x:v>
      </x:c>
      <x:c r="Y111" s="33" t="str">
        <x:v>caisse populaire d epargne cpecg yete mali|conakry a verifier</x:v>
      </x:c>
      <x:c r="Z111" s="33" t="str">
        <x:v>224657666011</x:v>
      </x:c>
      <x:c r="AA111" s="33" t="str"/>
    </x:row>
    <x:row r="112">
      <x:c r="A112" s="30" t="str">
        <x:v>À vérifier</x:v>
      </x:c>
      <x:c r="B112" s="30" t="str"/>
      <x:c r="C112" s="31"/>
      <x:c r="D112" s="30" t="str">
        <x:v>Non vérifié</x:v>
      </x:c>
      <x:c r="E112" s="30" t="str"/>
      <x:c r="F112" s="30" t="str"/>
      <x:c r="G112" s="32" t="str"/>
      <x:c r="H112" s="33" t="str">
        <x:f>IF(I112&lt;&gt;"","Doublon possible","")</x:f>
      </x:c>
      <x:c r="I112" s="33" t="str">
        <x:f>IF(COUNTIFS($Y$9:$Y$678,Y112)&gt;1,"Nom + ville",IF(AND(Z112&lt;&gt;"",COUNTIFS($Z$9:$Z$678,Z112)&gt;1),"Téléphone",IF(AND(AA112&lt;&gt;"",COUNTIFS($AA$9:$AA$678,AA112)&gt;1),"Site web","")))</x:f>
      </x:c>
      <x:c r="J112" s="33" t="str">
        <x:v>CECODE Guinée</x:v>
      </x:c>
      <x:c r="K112" s="33" t="str">
        <x:v>Banques et finances</x:v>
      </x:c>
      <x:c r="L112" s="33" t="str">
        <x:v>Bureaux de change</x:v>
      </x:c>
      <x:c r="M112" s="33" t="str">
        <x:v>Conakry (à vérifier)</x:v>
      </x:c>
      <x:c r="N112" s="33" t="str"/>
      <x:c r="O112" s="33" t="str"/>
      <x:c r="P112" s="33" t="str">
        <x:v>+224625482147</x:v>
      </x:c>
      <x:c r="Q112" s="33" t="str"/>
      <x:c r="R112" s="33" t="str"/>
      <x:c r="S112" s="33" t="str"/>
      <x:c r="T112" s="35" t="n">
        <x:v>9.6482954</x:v>
      </x:c>
      <x:c r="U112" s="35" t="n">
        <x:v>-13.5874422</x:v>
      </x:c>
      <x:c r="V112" s="33" t="str">
        <x:v>https://www.openstreetmap.org/node/7929618345</x:v>
      </x:c>
      <x:c r="W112" s="33" t="str">
        <x:v>node/7929618345</x:v>
      </x:c>
      <x:c r="X112" s="33" t="str">
        <x:v>review_required</x:v>
      </x:c>
      <x:c r="Y112" s="33" t="str">
        <x:v>cecode guinee|conakry a verifier</x:v>
      </x:c>
      <x:c r="Z112" s="33" t="str">
        <x:v>224625482147</x:v>
      </x:c>
      <x:c r="AA112" s="33" t="str"/>
    </x:row>
    <x:row r="113">
      <x:c r="A113" s="30" t="str">
        <x:v>À vérifier</x:v>
      </x:c>
      <x:c r="B113" s="30" t="str"/>
      <x:c r="C113" s="31"/>
      <x:c r="D113" s="30" t="str">
        <x:v>Non vérifié</x:v>
      </x:c>
      <x:c r="E113" s="30" t="str"/>
      <x:c r="F113" s="30" t="str"/>
      <x:c r="G113" s="32" t="str"/>
      <x:c r="H113" s="33" t="str">
        <x:f>IF(I113&lt;&gt;"","Doublon possible","")</x:f>
      </x:c>
      <x:c r="I113" s="33" t="str">
        <x:f>IF(COUNTIFS($Y$9:$Y$678,Y113)&gt;1,"Nom + ville",IF(AND(Z113&lt;&gt;"",COUNTIFS($Z$9:$Z$678,Z113)&gt;1),"Téléphone",IF(AND(AA113&lt;&gt;"",COUNTIFS($AA$9:$AA$678,AA113)&gt;1),"Site web","")))</x:f>
      </x:c>
      <x:c r="J113" s="33" t="str">
        <x:v>Crédit Rural de Guinée</x:v>
      </x:c>
      <x:c r="K113" s="33" t="str">
        <x:v>Banques et finances</x:v>
      </x:c>
      <x:c r="L113" s="33" t="str">
        <x:v>Banques</x:v>
      </x:c>
      <x:c r="M113" s="33" t="str">
        <x:v>Conakry (à vérifier)</x:v>
      </x:c>
      <x:c r="N113" s="33" t="str"/>
      <x:c r="O113" s="33" t="str"/>
      <x:c r="P113" s="33" t="str">
        <x:v>+224 622 93 12 27</x:v>
      </x:c>
      <x:c r="Q113" s="33" t="str">
        <x:v>amarakour@yahoo.fr</x:v>
      </x:c>
      <x:c r="R113" s="33" t="str">
        <x:v>www.creditruralguinee.com</x:v>
      </x:c>
      <x:c r="S113" s="33" t="str"/>
      <x:c r="T113" s="35" t="n">
        <x:v>9.5093567</x:v>
      </x:c>
      <x:c r="U113" s="35" t="n">
        <x:v>-13.7083363</x:v>
      </x:c>
      <x:c r="V113" s="33" t="str">
        <x:v>https://www.openstreetmap.org/node/5150584228</x:v>
      </x:c>
      <x:c r="W113" s="33" t="str">
        <x:v>node/5150584228</x:v>
      </x:c>
      <x:c r="X113" s="33" t="str">
        <x:v>review_required</x:v>
      </x:c>
      <x:c r="Y113" s="33" t="str">
        <x:v>credit rural de guinee|conakry a verifier</x:v>
      </x:c>
      <x:c r="Z113" s="33" t="str">
        <x:v>224622931227</x:v>
      </x:c>
      <x:c r="AA113" s="33" t="str">
        <x:v>creditruralguinee.com</x:v>
      </x:c>
    </x:row>
    <x:row r="114">
      <x:c r="A114" s="30" t="str">
        <x:v>À vérifier</x:v>
      </x:c>
      <x:c r="B114" s="30" t="str"/>
      <x:c r="C114" s="31"/>
      <x:c r="D114" s="30" t="str">
        <x:v>Non vérifié</x:v>
      </x:c>
      <x:c r="E114" s="30" t="str"/>
      <x:c r="F114" s="30" t="str"/>
      <x:c r="G114" s="32" t="str"/>
      <x:c r="H114" s="33" t="str">
        <x:f>IF(I114&lt;&gt;"","Doublon possible","")</x:f>
      </x:c>
      <x:c r="I114" s="33" t="str">
        <x:f>IF(COUNTIFS($Y$9:$Y$678,Y114)&gt;1,"Nom + ville",IF(AND(Z114&lt;&gt;"",COUNTIFS($Z$9:$Z$678,Z114)&gt;1),"Téléphone",IF(AND(AA114&lt;&gt;"",COUNTIFS($AA$9:$AA$678,AA114)&gt;1),"Site web","")))</x:f>
      </x:c>
      <x:c r="J114" s="33" t="str">
        <x:v>Démocratie, Paix, Élections et Développement Durable DPEG</x:v>
      </x:c>
      <x:c r="K114" s="33" t="str">
        <x:v>Banques et finances</x:v>
      </x:c>
      <x:c r="L114" s="33" t="str">
        <x:v>Bureaux de change</x:v>
      </x:c>
      <x:c r="M114" s="33" t="str">
        <x:v>Conakry (à vérifier)</x:v>
      </x:c>
      <x:c r="N114" s="33" t="str"/>
      <x:c r="O114" s="33" t="str"/>
      <x:c r="P114" s="33" t="str">
        <x:v>622058990</x:v>
      </x:c>
      <x:c r="Q114" s="33" t="str"/>
      <x:c r="R114" s="33" t="str">
        <x:v>www.societeciviledpeg.com</x:v>
      </x:c>
      <x:c r="S114" s="33" t="str"/>
      <x:c r="T114" s="35" t="n">
        <x:v>9.6570713</x:v>
      </x:c>
      <x:c r="U114" s="35" t="n">
        <x:v>-13.5699557</x:v>
      </x:c>
      <x:c r="V114" s="33" t="str">
        <x:v>https://www.openstreetmap.org/node/7916139146</x:v>
      </x:c>
      <x:c r="W114" s="33" t="str">
        <x:v>node/7916139146</x:v>
      </x:c>
      <x:c r="X114" s="33" t="str">
        <x:v>review_required</x:v>
      </x:c>
      <x:c r="Y114" s="33" t="str">
        <x:v>democratie paix elections et developpement durable dpeg|conakry a verifier</x:v>
      </x:c>
      <x:c r="Z114" s="33" t="str">
        <x:v>224622058990</x:v>
      </x:c>
      <x:c r="AA114" s="33" t="str">
        <x:v>societeciviledpeg.com</x:v>
      </x:c>
    </x:row>
    <x:row r="115">
      <x:c r="A115" s="30" t="str">
        <x:v>À vérifier</x:v>
      </x:c>
      <x:c r="B115" s="30" t="str"/>
      <x:c r="C115" s="31"/>
      <x:c r="D115" s="30" t="str">
        <x:v>Non vérifié</x:v>
      </x:c>
      <x:c r="E115" s="30" t="str"/>
      <x:c r="F115" s="30" t="str"/>
      <x:c r="G115" s="32" t="str"/>
      <x:c r="H115" s="33" t="str">
        <x:f>IF(I115&lt;&gt;"","Doublon possible","")</x:f>
      </x:c>
      <x:c r="I115" s="33" t="str">
        <x:f>IF(COUNTIFS($Y$9:$Y$678,Y115)&gt;1,"Nom + ville",IF(AND(Z115&lt;&gt;"",COUNTIFS($Z$9:$Z$678,Z115)&gt;1),"Téléphone",IF(AND(AA115&lt;&gt;"",COUNTIFS($AA$9:$AA$678,AA115)&gt;1),"Site web","")))</x:f>
      </x:c>
      <x:c r="J115" s="33" t="str">
        <x:v>Ets Kourouma et frère</x:v>
      </x:c>
      <x:c r="K115" s="33" t="str">
        <x:v>Banques et finances</x:v>
      </x:c>
      <x:c r="L115" s="33" t="str">
        <x:v>Bureaux de change</x:v>
      </x:c>
      <x:c r="M115" s="33" t="str">
        <x:v>Conakry (à vérifier)</x:v>
      </x:c>
      <x:c r="N115" s="33" t="str"/>
      <x:c r="O115" s="33" t="str">
        <x:v>Sankoumbaya</x:v>
      </x:c>
      <x:c r="P115" s="33" t="str"/>
      <x:c r="Q115" s="33" t="str"/>
      <x:c r="R115" s="33" t="str"/>
      <x:c r="S115" s="33" t="str"/>
      <x:c r="T115" s="35" t="n">
        <x:v>9.6308621</x:v>
      </x:c>
      <x:c r="U115" s="35" t="n">
        <x:v>-13.5745302</x:v>
      </x:c>
      <x:c r="V115" s="33" t="str">
        <x:v>https://www.openstreetmap.org/node/6072823215</x:v>
      </x:c>
      <x:c r="W115" s="33" t="str">
        <x:v>node/6072823215</x:v>
      </x:c>
      <x:c r="X115" s="33" t="str">
        <x:v>review_required</x:v>
      </x:c>
      <x:c r="Y115" s="33" t="str">
        <x:v>ets kourouma et frere|conakry a verifier</x:v>
      </x:c>
      <x:c r="Z115" s="33" t="str"/>
      <x:c r="AA115" s="33" t="str"/>
    </x:row>
    <x:row r="116">
      <x:c r="A116" s="30" t="str">
        <x:v>À vérifier</x:v>
      </x:c>
      <x:c r="B116" s="30" t="str"/>
      <x:c r="C116" s="31"/>
      <x:c r="D116" s="30" t="str">
        <x:v>Non vérifié</x:v>
      </x:c>
      <x:c r="E116" s="30" t="str"/>
      <x:c r="F116" s="30" t="str"/>
      <x:c r="G116" s="32" t="str"/>
      <x:c r="H116" s="33" t="str">
        <x:f>IF(I116&lt;&gt;"","Doublon possible","")</x:f>
      </x:c>
      <x:c r="I116" s="33" t="str">
        <x:f>IF(COUNTIFS($Y$9:$Y$678,Y116)&gt;1,"Nom + ville",IF(AND(Z116&lt;&gt;"",COUNTIFS($Z$9:$Z$678,Z116)&gt;1),"Téléphone",IF(AND(AA116&lt;&gt;"",COUNTIFS($AA$9:$AA$678,AA116)&gt;1),"Site web","")))</x:f>
      </x:c>
      <x:c r="J116" s="33" t="str">
        <x:v>First Bank of Nigeria</x:v>
      </x:c>
      <x:c r="K116" s="33" t="str">
        <x:v>Banques et finances</x:v>
      </x:c>
      <x:c r="L116" s="33" t="str">
        <x:v>Banques</x:v>
      </x:c>
      <x:c r="M116" s="33" t="str">
        <x:v>Conakry (à vérifier)</x:v>
      </x:c>
      <x:c r="N116" s="33" t="str"/>
      <x:c r="O116" s="33" t="str"/>
      <x:c r="P116" s="33" t="str"/>
      <x:c r="Q116" s="33" t="str"/>
      <x:c r="R116" s="33" t="str">
        <x:v>https://www.fbnbankghana.com/</x:v>
      </x:c>
      <x:c r="S116" s="33" t="str"/>
      <x:c r="T116" s="35" t="n">
        <x:v>9.6123132</x:v>
      </x:c>
      <x:c r="U116" s="35" t="n">
        <x:v>-13.5919011</x:v>
      </x:c>
      <x:c r="V116" s="33" t="str">
        <x:v>https://www.openstreetmap.org/node/4405092336</x:v>
      </x:c>
      <x:c r="W116" s="33" t="str">
        <x:v>node/4405092336</x:v>
      </x:c>
      <x:c r="X116" s="33" t="str">
        <x:v>review_required</x:v>
      </x:c>
      <x:c r="Y116" s="33" t="str">
        <x:v>first bank of nigeria|conakry a verifier</x:v>
      </x:c>
      <x:c r="Z116" s="33" t="str"/>
      <x:c r="AA116" s="33" t="str">
        <x:v>fbnbankghana.com</x:v>
      </x:c>
    </x:row>
    <x:row r="117">
      <x:c r="A117" s="30" t="str">
        <x:v>À vérifier</x:v>
      </x:c>
      <x:c r="B117" s="30" t="str"/>
      <x:c r="C117" s="31"/>
      <x:c r="D117" s="30" t="str">
        <x:v>Non vérifié</x:v>
      </x:c>
      <x:c r="E117" s="30" t="str"/>
      <x:c r="F117" s="30" t="str"/>
      <x:c r="G117" s="32" t="str"/>
      <x:c r="H117" s="33" t="str">
        <x:f>IF(I117&lt;&gt;"","Doublon possible","")</x:f>
      </x:c>
      <x:c r="I117" s="33" t="str">
        <x:f>IF(COUNTIFS($Y$9:$Y$678,Y117)&gt;1,"Nom + ville",IF(AND(Z117&lt;&gt;"",COUNTIFS($Z$9:$Z$678,Z117)&gt;1),"Téléphone",IF(AND(AA117&lt;&gt;"",COUNTIFS($AA$9:$AA$678,AA117)&gt;1),"Site web","")))</x:f>
      </x:c>
      <x:c r="J117" s="33" t="str">
        <x:v>Institution de microfinance</x:v>
      </x:c>
      <x:c r="K117" s="33" t="str">
        <x:v>Banques et finances</x:v>
      </x:c>
      <x:c r="L117" s="33" t="str">
        <x:v>Banques</x:v>
      </x:c>
      <x:c r="M117" s="33" t="str">
        <x:v>Conakry (à vérifier)</x:v>
      </x:c>
      <x:c r="N117" s="33" t="str"/>
      <x:c r="O117" s="33" t="str"/>
      <x:c r="P117" s="33" t="str">
        <x:v>669638399</x:v>
      </x:c>
      <x:c r="Q117" s="33" t="str"/>
      <x:c r="R117" s="33" t="str">
        <x:v>www.finadew-groupe.com</x:v>
      </x:c>
      <x:c r="S117" s="33" t="str"/>
      <x:c r="T117" s="35" t="n">
        <x:v>9.5907065</x:v>
      </x:c>
      <x:c r="U117" s="35" t="n">
        <x:v>-13.6058689</x:v>
      </x:c>
      <x:c r="V117" s="33" t="str">
        <x:v>https://www.openstreetmap.org/node/6918619502</x:v>
      </x:c>
      <x:c r="W117" s="33" t="str">
        <x:v>node/6918619502</x:v>
      </x:c>
      <x:c r="X117" s="33" t="str">
        <x:v>review_required</x:v>
      </x:c>
      <x:c r="Y117" s="33" t="str">
        <x:v>institution de microfinance|conakry a verifier</x:v>
      </x:c>
      <x:c r="Z117" s="33" t="str">
        <x:v>224669638399</x:v>
      </x:c>
      <x:c r="AA117" s="33" t="str">
        <x:v>finadew-groupe.com</x:v>
      </x:c>
    </x:row>
    <x:row r="118">
      <x:c r="A118" s="30" t="str">
        <x:v>À vérifier</x:v>
      </x:c>
      <x:c r="B118" s="30" t="str"/>
      <x:c r="C118" s="31"/>
      <x:c r="D118" s="30" t="str">
        <x:v>Non vérifié</x:v>
      </x:c>
      <x:c r="E118" s="30" t="str"/>
      <x:c r="F118" s="30" t="str"/>
      <x:c r="G118" s="32" t="str"/>
      <x:c r="H118" s="33" t="str">
        <x:f>IF(I118&lt;&gt;"","Doublon possible","")</x:f>
      </x:c>
      <x:c r="I118" s="33" t="str">
        <x:f>IF(COUNTIFS($Y$9:$Y$678,Y118)&gt;1,"Nom + ville",IF(AND(Z118&lt;&gt;"",COUNTIFS($Z$9:$Z$678,Z118)&gt;1),"Téléphone",IF(AND(AA118&lt;&gt;"",COUNTIFS($AA$9:$AA$678,AA118)&gt;1),"Site web","")))</x:f>
      </x:c>
      <x:c r="J118" s="33" t="str">
        <x:v>Orange Money</x:v>
      </x:c>
      <x:c r="K118" s="33" t="str">
        <x:v>Banques et finances</x:v>
      </x:c>
      <x:c r="L118" s="33" t="str">
        <x:v>Bureaux de change</x:v>
      </x:c>
      <x:c r="M118" s="33" t="str">
        <x:v>Conakry (à vérifier)</x:v>
      </x:c>
      <x:c r="N118" s="33" t="str"/>
      <x:c r="O118" s="33" t="str">
        <x:v>PBP/CAM DM-0018 43</x:v>
      </x:c>
      <x:c r="P118" s="33" t="str"/>
      <x:c r="Q118" s="33" t="str"/>
      <x:c r="R118" s="33" t="str"/>
      <x:c r="S118" s="33" t="str"/>
      <x:c r="T118" s="35" t="n">
        <x:v>9.5476203</x:v>
      </x:c>
      <x:c r="U118" s="35" t="n">
        <x:v>-13.6736762</x:v>
      </x:c>
      <x:c r="V118" s="33" t="str">
        <x:v>https://www.openstreetmap.org/node/5966557752</x:v>
      </x:c>
      <x:c r="W118" s="33" t="str">
        <x:v>node/5966557752</x:v>
      </x:c>
      <x:c r="X118" s="33" t="str">
        <x:v>review_required</x:v>
      </x:c>
      <x:c r="Y118" s="33" t="str">
        <x:v>orange money|conakry a verifier</x:v>
      </x:c>
      <x:c r="Z118" s="33" t="str"/>
      <x:c r="AA118" s="33" t="str"/>
    </x:row>
    <x:row r="119">
      <x:c r="A119" s="30" t="str">
        <x:v>À vérifier</x:v>
      </x:c>
      <x:c r="B119" s="30" t="str"/>
      <x:c r="C119" s="31"/>
      <x:c r="D119" s="30" t="str">
        <x:v>Non vérifié</x:v>
      </x:c>
      <x:c r="E119" s="30" t="str"/>
      <x:c r="F119" s="30" t="str"/>
      <x:c r="G119" s="32" t="str"/>
      <x:c r="H119" s="33" t="str">
        <x:f>IF(I119&lt;&gt;"","Doublon possible","")</x:f>
      </x:c>
      <x:c r="I119" s="33" t="str">
        <x:f>IF(COUNTIFS($Y$9:$Y$678,Y119)&gt;1,"Nom + ville",IF(AND(Z119&lt;&gt;"",COUNTIFS($Z$9:$Z$678,Z119)&gt;1),"Téléphone",IF(AND(AA119&lt;&gt;"",COUNTIFS($AA$9:$AA$678,AA119)&gt;1),"Site web","")))</x:f>
      </x:c>
      <x:c r="J119" s="33" t="str">
        <x:v>Yètè Mali</x:v>
      </x:c>
      <x:c r="K119" s="33" t="str">
        <x:v>Banques et finances</x:v>
      </x:c>
      <x:c r="L119" s="33" t="str">
        <x:v>Banques</x:v>
      </x:c>
      <x:c r="M119" s="33" t="str">
        <x:v>Conakry (à vérifier)</x:v>
      </x:c>
      <x:c r="N119" s="33" t="str"/>
      <x:c r="O119" s="33" t="str"/>
      <x:c r="P119" s="33" t="str">
        <x:v>657666003</x:v>
      </x:c>
      <x:c r="Q119" s="33" t="str"/>
      <x:c r="R119" s="33" t="str"/>
      <x:c r="S119" s="33" t="str"/>
      <x:c r="T119" s="35" t="n">
        <x:v>9.5391282</x:v>
      </x:c>
      <x:c r="U119" s="35" t="n">
        <x:v>-13.6712674</x:v>
      </x:c>
      <x:c r="V119" s="33" t="str">
        <x:v>https://www.openstreetmap.org/node/5494060672</x:v>
      </x:c>
      <x:c r="W119" s="33" t="str">
        <x:v>node/5494060672</x:v>
      </x:c>
      <x:c r="X119" s="33" t="str">
        <x:v>review_required</x:v>
      </x:c>
      <x:c r="Y119" s="33" t="str">
        <x:v>yete mali|conakry a verifier</x:v>
      </x:c>
      <x:c r="Z119" s="33" t="str">
        <x:v>224657666003</x:v>
      </x:c>
      <x:c r="AA119" s="33" t="str"/>
    </x:row>
    <x:row r="120">
      <x:c r="A120" s="30" t="str">
        <x:v>À vérifier</x:v>
      </x:c>
      <x:c r="B120" s="30" t="str"/>
      <x:c r="C120" s="31"/>
      <x:c r="D120" s="30" t="str">
        <x:v>Non vérifié</x:v>
      </x:c>
      <x:c r="E120" s="30" t="str"/>
      <x:c r="F120" s="30" t="str"/>
      <x:c r="G120" s="32" t="str"/>
      <x:c r="H120" s="33" t="str">
        <x:f>IF(I120&lt;&gt;"","Doublon possible","")</x:f>
      </x:c>
      <x:c r="I120" s="33" t="str">
        <x:f>IF(COUNTIFS($Y$9:$Y$678,Y120)&gt;1,"Nom + ville",IF(AND(Z120&lt;&gt;"",COUNTIFS($Z$9:$Z$678,Z120)&gt;1),"Téléphone",IF(AND(AA120&lt;&gt;"",COUNTIFS($AA$9:$AA$678,AA120)&gt;1),"Site web","")))</x:f>
      </x:c>
      <x:c r="J120" s="33" t="str">
        <x:v>(Vêtements)</x:v>
      </x:c>
      <x:c r="K120" s="33" t="str">
        <x:v>Commerces</x:v>
      </x:c>
      <x:c r="L120" s="33" t="str">
        <x:v>Habillement</x:v>
      </x:c>
      <x:c r="M120" s="33" t="str">
        <x:v>Conakry (à vérifier)</x:v>
      </x:c>
      <x:c r="N120" s="33" t="str"/>
      <x:c r="O120" s="33" t="str">
        <x:v>PBP/CAM DM-0018 46</x:v>
      </x:c>
      <x:c r="P120" s="33" t="str"/>
      <x:c r="Q120" s="33" t="str"/>
      <x:c r="R120" s="33" t="str"/>
      <x:c r="S120" s="33" t="str"/>
      <x:c r="T120" s="35" t="n">
        <x:v>9.5476089</x:v>
      </x:c>
      <x:c r="U120" s="35" t="n">
        <x:v>-13.6736235</x:v>
      </x:c>
      <x:c r="V120" s="33" t="str">
        <x:v>https://www.openstreetmap.org/node/5966557450</x:v>
      </x:c>
      <x:c r="W120" s="33" t="str">
        <x:v>node/5966557450</x:v>
      </x:c>
      <x:c r="X120" s="33" t="str">
        <x:v>review_required</x:v>
      </x:c>
      <x:c r="Y120" s="33" t="str">
        <x:v>vetements|conakry a verifier</x:v>
      </x:c>
      <x:c r="Z120" s="33" t="str"/>
      <x:c r="AA120" s="33" t="str"/>
    </x:row>
    <x:row r="121">
      <x:c r="A121" s="30" t="str">
        <x:v>À vérifier</x:v>
      </x:c>
      <x:c r="B121" s="30" t="str"/>
      <x:c r="C121" s="31"/>
      <x:c r="D121" s="30" t="str">
        <x:v>Non vérifié</x:v>
      </x:c>
      <x:c r="E121" s="30" t="str"/>
      <x:c r="F121" s="30" t="str"/>
      <x:c r="G121" s="32" t="str"/>
      <x:c r="H121" s="33" t="str">
        <x:f>IF(I121&lt;&gt;"","Doublon possible","")</x:f>
      </x:c>
      <x:c r="I121" s="33" t="str">
        <x:f>IF(COUNTIFS($Y$9:$Y$678,Y121)&gt;1,"Nom + ville",IF(AND(Z121&lt;&gt;"",COUNTIFS($Z$9:$Z$678,Z121)&gt;1),"Téléphone",IF(AND(AA121&lt;&gt;"",COUNTIFS($AA$9:$AA$678,AA121)&gt;1),"Site web","")))</x:f>
      </x:c>
      <x:c r="J121" s="33" t="str">
        <x:v>Agence Guinée Games</x:v>
      </x:c>
      <x:c r="K121" s="33" t="str">
        <x:v>Commerces</x:v>
      </x:c>
      <x:c r="L121" s="33" t="str">
        <x:v>Boutiques</x:v>
      </x:c>
      <x:c r="M121" s="33" t="str">
        <x:v>Conakry (à vérifier)</x:v>
      </x:c>
      <x:c r="N121" s="33" t="str"/>
      <x:c r="O121" s="33" t="str"/>
      <x:c r="P121" s="33" t="str"/>
      <x:c r="Q121" s="33" t="str"/>
      <x:c r="R121" s="33" t="str">
        <x:v>https://www.guineegames.com/</x:v>
      </x:c>
      <x:c r="S121" s="33" t="str"/>
      <x:c r="T121" s="35" t="n">
        <x:v>9.5469494</x:v>
      </x:c>
      <x:c r="U121" s="35" t="n">
        <x:v>-13.6719874</x:v>
      </x:c>
      <x:c r="V121" s="33" t="str">
        <x:v>https://www.openstreetmap.org/node/7298732039</x:v>
      </x:c>
      <x:c r="W121" s="33" t="str">
        <x:v>node/7298732039</x:v>
      </x:c>
      <x:c r="X121" s="33" t="str">
        <x:v>review_required</x:v>
      </x:c>
      <x:c r="Y121" s="33" t="str">
        <x:v>agence guinee games|conakry a verifier</x:v>
      </x:c>
      <x:c r="Z121" s="33" t="str"/>
      <x:c r="AA121" s="33" t="str">
        <x:v>guineegames.com</x:v>
      </x:c>
    </x:row>
    <x:row r="122">
      <x:c r="A122" s="30" t="str">
        <x:v>À vérifier</x:v>
      </x:c>
      <x:c r="B122" s="30" t="str"/>
      <x:c r="C122" s="31"/>
      <x:c r="D122" s="30" t="str">
        <x:v>Non vérifié</x:v>
      </x:c>
      <x:c r="E122" s="30" t="str"/>
      <x:c r="F122" s="30" t="str"/>
      <x:c r="G122" s="32" t="str"/>
      <x:c r="H122" s="33" t="str">
        <x:f>IF(I122&lt;&gt;"","Doublon possible","")</x:f>
      </x:c>
      <x:c r="I122" s="33" t="str">
        <x:f>IF(COUNTIFS($Y$9:$Y$678,Y122)&gt;1,"Nom + ville",IF(AND(Z122&lt;&gt;"",COUNTIFS($Z$9:$Z$678,Z122)&gt;1),"Téléphone",IF(AND(AA122&lt;&gt;"",COUNTIFS($AA$9:$AA$678,AA122)&gt;1),"Site web","")))</x:f>
      </x:c>
      <x:c r="J122" s="33" t="str">
        <x:v>Aguifil</x:v>
      </x:c>
      <x:c r="K122" s="33" t="str">
        <x:v>Commerces</x:v>
      </x:c>
      <x:c r="L122" s="33" t="str">
        <x:v>Boutiques</x:v>
      </x:c>
      <x:c r="M122" s="33" t="str">
        <x:v>Conakry (à vérifier)</x:v>
      </x:c>
      <x:c r="N122" s="33" t="str"/>
      <x:c r="O122" s="33" t="str"/>
      <x:c r="P122" s="33" t="str">
        <x:v>660080800/622580304</x:v>
      </x:c>
      <x:c r="Q122" s="33" t="str"/>
      <x:c r="R122" s="33" t="str">
        <x:v>https://www.aguifil.gov.gn/</x:v>
      </x:c>
      <x:c r="S122" s="33" t="str"/>
      <x:c r="T122" s="35" t="n">
        <x:v>9.512809</x:v>
      </x:c>
      <x:c r="U122" s="35" t="n">
        <x:v>-13.711081</x:v>
      </x:c>
      <x:c r="V122" s="33" t="str">
        <x:v>https://www.openstreetmap.org/node/8606122747</x:v>
      </x:c>
      <x:c r="W122" s="33" t="str">
        <x:v>node/8606122747</x:v>
      </x:c>
      <x:c r="X122" s="33" t="str">
        <x:v>review_required</x:v>
      </x:c>
      <x:c r="Y122" s="33" t="str">
        <x:v>aguifil|conakry a verifier</x:v>
      </x:c>
      <x:c r="Z122" s="33" t="str">
        <x:v>660080800622580304</x:v>
      </x:c>
      <x:c r="AA122" s="33" t="str">
        <x:v>aguifil.gov.gn</x:v>
      </x:c>
    </x:row>
    <x:row r="123">
      <x:c r="A123" s="30" t="str">
        <x:v>À vérifier</x:v>
      </x:c>
      <x:c r="B123" s="30" t="str"/>
      <x:c r="C123" s="31"/>
      <x:c r="D123" s="30" t="str">
        <x:v>Non vérifié</x:v>
      </x:c>
      <x:c r="E123" s="30" t="str"/>
      <x:c r="F123" s="30" t="str"/>
      <x:c r="G123" s="32" t="str"/>
      <x:c r="H123" s="33" t="str">
        <x:f>IF(I123&lt;&gt;"","Doublon possible","")</x:f>
      </x:c>
      <x:c r="I123" s="33" t="str">
        <x:f>IF(COUNTIFS($Y$9:$Y$678,Y123)&gt;1,"Nom + ville",IF(AND(Z123&lt;&gt;"",COUNTIFS($Z$9:$Z$678,Z123)&gt;1),"Téléphone",IF(AND(AA123&lt;&gt;"",COUNTIFS($AA$9:$AA$678,AA123)&gt;1),"Site web","")))</x:f>
      </x:c>
      <x:c r="J123" s="33" t="str">
        <x:v>Aguimmo</x:v>
      </x:c>
      <x:c r="K123" s="33" t="str">
        <x:v>Commerces</x:v>
      </x:c>
      <x:c r="L123" s="33" t="str">
        <x:v>Boutiques</x:v>
      </x:c>
      <x:c r="M123" s="33" t="str">
        <x:v>Conakry (à vérifier)</x:v>
      </x:c>
      <x:c r="N123" s="33" t="str"/>
      <x:c r="O123" s="33" t="str"/>
      <x:c r="P123" s="33" t="str">
        <x:v>6210311</x:v>
      </x:c>
      <x:c r="Q123" s="33" t="str">
        <x:v>info@aguimmo.com</x:v>
      </x:c>
      <x:c r="R123" s="33" t="str">
        <x:v>https://www.aguimmo.com/</x:v>
      </x:c>
      <x:c r="S123" s="33" t="str"/>
      <x:c r="T123" s="35" t="n">
        <x:v>9.5777306</x:v>
      </x:c>
      <x:c r="U123" s="35" t="n">
        <x:v>-13.6639263</x:v>
      </x:c>
      <x:c r="V123" s="33" t="str">
        <x:v>https://www.openstreetmap.org/node/6318877465</x:v>
      </x:c>
      <x:c r="W123" s="33" t="str">
        <x:v>node/6318877465</x:v>
      </x:c>
      <x:c r="X123" s="33" t="str">
        <x:v>review_required</x:v>
      </x:c>
      <x:c r="Y123" s="33" t="str">
        <x:v>aguimmo|conakry a verifier</x:v>
      </x:c>
      <x:c r="Z123" s="33" t="str">
        <x:v>6210311</x:v>
      </x:c>
      <x:c r="AA123" s="33" t="str">
        <x:v>aguimmo.com</x:v>
      </x:c>
    </x:row>
    <x:row r="124">
      <x:c r="A124" s="30" t="str">
        <x:v>À vérifier</x:v>
      </x:c>
      <x:c r="B124" s="30" t="str"/>
      <x:c r="C124" s="31"/>
      <x:c r="D124" s="30" t="str">
        <x:v>Non vérifié</x:v>
      </x:c>
      <x:c r="E124" s="30" t="str"/>
      <x:c r="F124" s="30" t="str"/>
      <x:c r="G124" s="32" t="str"/>
      <x:c r="H124" s="33" t="str">
        <x:f>IF(I124&lt;&gt;"","Doublon possible","")</x:f>
      </x:c>
      <x:c r="I124" s="33" t="str">
        <x:f>IF(COUNTIFS($Y$9:$Y$678,Y124)&gt;1,"Nom + ville",IF(AND(Z124&lt;&gt;"",COUNTIFS($Z$9:$Z$678,Z124)&gt;1),"Téléphone",IF(AND(AA124&lt;&gt;"",COUNTIFS($AA$9:$AA$678,AA124)&gt;1),"Site web","")))</x:f>
      </x:c>
      <x:c r="J124" s="33" t="str">
        <x:v>Alimentation Générale</x:v>
      </x:c>
      <x:c r="K124" s="33" t="str">
        <x:v>Commerces</x:v>
      </x:c>
      <x:c r="L124" s="33" t="str">
        <x:v>Boutiques</x:v>
      </x:c>
      <x:c r="M124" s="33" t="str">
        <x:v>Conakry (à vérifier)</x:v>
      </x:c>
      <x:c r="N124" s="33" t="str"/>
      <x:c r="O124" s="33" t="str"/>
      <x:c r="P124" s="33" t="str">
        <x:v>621403872</x:v>
      </x:c>
      <x:c r="Q124" s="33" t="str"/>
      <x:c r="R124" s="33" t="str"/>
      <x:c r="S124" s="33" t="str"/>
      <x:c r="T124" s="35" t="n">
        <x:v>9.6709521</x:v>
      </x:c>
      <x:c r="U124" s="35" t="n">
        <x:v>-13.5813788</x:v>
      </x:c>
      <x:c r="V124" s="33" t="str">
        <x:v>https://www.openstreetmap.org/node/8710705199</x:v>
      </x:c>
      <x:c r="W124" s="33" t="str">
        <x:v>node/8710705199</x:v>
      </x:c>
      <x:c r="X124" s="33" t="str">
        <x:v>review_required</x:v>
      </x:c>
      <x:c r="Y124" s="33" t="str">
        <x:v>alimentation generale|conakry a verifier</x:v>
      </x:c>
      <x:c r="Z124" s="33" t="str">
        <x:v>224621403872</x:v>
      </x:c>
      <x:c r="AA124" s="33" t="str"/>
    </x:row>
    <x:row r="125">
      <x:c r="A125" s="30" t="str">
        <x:v>À vérifier</x:v>
      </x:c>
      <x:c r="B125" s="30" t="str"/>
      <x:c r="C125" s="31"/>
      <x:c r="D125" s="30" t="str">
        <x:v>Non vérifié</x:v>
      </x:c>
      <x:c r="E125" s="30" t="str"/>
      <x:c r="F125" s="30" t="str"/>
      <x:c r="G125" s="32" t="str"/>
      <x:c r="H125" s="33" t="str">
        <x:f>IF(I125&lt;&gt;"","Doublon possible","")</x:f>
      </x:c>
      <x:c r="I125" s="33" t="str">
        <x:f>IF(COUNTIFS($Y$9:$Y$678,Y125)&gt;1,"Nom + ville",IF(AND(Z125&lt;&gt;"",COUNTIFS($Z$9:$Z$678,Z125)&gt;1),"Téléphone",IF(AND(AA125&lt;&gt;"",COUNTIFS($AA$9:$AA$678,AA125)&gt;1),"Site web","")))</x:f>
      </x:c>
      <x:c r="J125" s="33" t="str">
        <x:v>Ami Coiffure</x:v>
      </x:c>
      <x:c r="K125" s="33" t="str">
        <x:v>Commerces</x:v>
      </x:c>
      <x:c r="L125" s="33" t="str">
        <x:v>Boutiques</x:v>
      </x:c>
      <x:c r="M125" s="33" t="str">
        <x:v>Conakry (à vérifier)</x:v>
      </x:c>
      <x:c r="N125" s="33" t="str"/>
      <x:c r="O125" s="33" t="str"/>
      <x:c r="P125" s="33" t="str">
        <x:v>+224622013632</x:v>
      </x:c>
      <x:c r="Q125" s="33" t="str"/>
      <x:c r="R125" s="33" t="str"/>
      <x:c r="S125" s="33" t="str"/>
      <x:c r="T125" s="35" t="n">
        <x:v>9.6369485</x:v>
      </x:c>
      <x:c r="U125" s="35" t="n">
        <x:v>-13.6110909</x:v>
      </x:c>
      <x:c r="V125" s="33" t="str">
        <x:v>https://www.openstreetmap.org/node/6044920116</x:v>
      </x:c>
      <x:c r="W125" s="33" t="str">
        <x:v>node/6044920116</x:v>
      </x:c>
      <x:c r="X125" s="33" t="str">
        <x:v>review_required</x:v>
      </x:c>
      <x:c r="Y125" s="33" t="str">
        <x:v>ami coiffure|conakry a verifier</x:v>
      </x:c>
      <x:c r="Z125" s="33" t="str">
        <x:v>224622013632</x:v>
      </x:c>
      <x:c r="AA125" s="33" t="str"/>
    </x:row>
    <x:row r="126">
      <x:c r="A126" s="30" t="str">
        <x:v>À vérifier</x:v>
      </x:c>
      <x:c r="B126" s="30" t="str"/>
      <x:c r="C126" s="31"/>
      <x:c r="D126" s="30" t="str">
        <x:v>Non vérifié</x:v>
      </x:c>
      <x:c r="E126" s="30" t="str"/>
      <x:c r="F126" s="30" t="str"/>
      <x:c r="G126" s="32" t="str"/>
      <x:c r="H126" s="33" t="str">
        <x:f>IF(I126&lt;&gt;"","Doublon possible","")</x:f>
        <x:v>Doublon possible</x:v>
      </x:c>
      <x:c r="I126" s="33" t="str">
        <x:f>IF(COUNTIFS($Y$9:$Y$678,Y126)&gt;1,"Nom + ville",IF(AND(Z126&lt;&gt;"",COUNTIFS($Z$9:$Z$678,Z126)&gt;1),"Téléphone",IF(AND(AA126&lt;&gt;"",COUNTIFS($AA$9:$AA$678,AA126)&gt;1),"Site web","")))</x:f>
        <x:v>Site web</x:v>
      </x:c>
      <x:c r="J126" s="33" t="str">
        <x:v>Bak'D coiffure</x:v>
      </x:c>
      <x:c r="K126" s="33" t="str">
        <x:v>Commerces</x:v>
      </x:c>
      <x:c r="L126" s="33" t="str">
        <x:v>Boutiques</x:v>
      </x:c>
      <x:c r="M126" s="33" t="str">
        <x:v>Conakry (à vérifier)</x:v>
      </x:c>
      <x:c r="N126" s="33" t="str"/>
      <x:c r="O126" s="33" t="str"/>
      <x:c r="P126" s="33" t="str">
        <x:v>+224624705955</x:v>
      </x:c>
      <x:c r="Q126" s="33" t="str"/>
      <x:c r="R126" s="33" t="str">
        <x:v>medabo17@gmail.com</x:v>
      </x:c>
      <x:c r="S126" s="33" t="str"/>
      <x:c r="T126" s="35" t="n">
        <x:v>9.656095</x:v>
      </x:c>
      <x:c r="U126" s="35" t="n">
        <x:v>-13.6008164</x:v>
      </x:c>
      <x:c r="V126" s="33" t="str">
        <x:v>https://www.openstreetmap.org/node/6440468312</x:v>
      </x:c>
      <x:c r="W126" s="33" t="str">
        <x:v>node/6440468312</x:v>
      </x:c>
      <x:c r="X126" s="33" t="str">
        <x:v>review_required</x:v>
      </x:c>
      <x:c r="Y126" s="33" t="str">
        <x:v>bak d coiffure|conakry a verifier</x:v>
      </x:c>
      <x:c r="Z126" s="33" t="str">
        <x:v>224624705955</x:v>
      </x:c>
      <x:c r="AA126" s="33" t="str">
        <x:v>gmail.com</x:v>
      </x:c>
    </x:row>
    <x:row r="127">
      <x:c r="A127" s="30" t="str">
        <x:v>À vérifier</x:v>
      </x:c>
      <x:c r="B127" s="30" t="str"/>
      <x:c r="C127" s="31"/>
      <x:c r="D127" s="30" t="str">
        <x:v>Non vérifié</x:v>
      </x:c>
      <x:c r="E127" s="30" t="str"/>
      <x:c r="F127" s="30" t="str"/>
      <x:c r="G127" s="32" t="str"/>
      <x:c r="H127" s="33" t="str">
        <x:f>IF(I127&lt;&gt;"","Doublon possible","")</x:f>
      </x:c>
      <x:c r="I127" s="33" t="str">
        <x:f>IF(COUNTIFS($Y$9:$Y$678,Y127)&gt;1,"Nom + ville",IF(AND(Z127&lt;&gt;"",COUNTIFS($Z$9:$Z$678,Z127)&gt;1),"Téléphone",IF(AND(AA127&lt;&gt;"",COUNTIFS($AA$9:$AA$678,AA127)&gt;1),"Site web","")))</x:f>
      </x:c>
      <x:c r="J127" s="33" t="str">
        <x:v>Barry et fils</x:v>
      </x:c>
      <x:c r="K127" s="33" t="str">
        <x:v>Commerces</x:v>
      </x:c>
      <x:c r="L127" s="33" t="str">
        <x:v>Boutiques</x:v>
      </x:c>
      <x:c r="M127" s="33" t="str">
        <x:v>Conakry (à vérifier)</x:v>
      </x:c>
      <x:c r="N127" s="33" t="str"/>
      <x:c r="O127" s="33" t="str"/>
      <x:c r="P127" s="33" t="str">
        <x:v>622946325</x:v>
      </x:c>
      <x:c r="Q127" s="33" t="str"/>
      <x:c r="R127" s="33" t="str"/>
      <x:c r="S127" s="33" t="str"/>
      <x:c r="T127" s="35" t="n">
        <x:v>9.6296702</x:v>
      </x:c>
      <x:c r="U127" s="35" t="n">
        <x:v>-13.5930128</x:v>
      </x:c>
      <x:c r="V127" s="33" t="str">
        <x:v>https://www.openstreetmap.org/node/7331240363</x:v>
      </x:c>
      <x:c r="W127" s="33" t="str">
        <x:v>node/7331240363</x:v>
      </x:c>
      <x:c r="X127" s="33" t="str">
        <x:v>review_required</x:v>
      </x:c>
      <x:c r="Y127" s="33" t="str">
        <x:v>barry et fils|conakry a verifier</x:v>
      </x:c>
      <x:c r="Z127" s="33" t="str">
        <x:v>224622946325</x:v>
      </x:c>
      <x:c r="AA127" s="33" t="str"/>
    </x:row>
    <x:row r="128">
      <x:c r="A128" s="30" t="str">
        <x:v>À vérifier</x:v>
      </x:c>
      <x:c r="B128" s="30" t="str"/>
      <x:c r="C128" s="31"/>
      <x:c r="D128" s="30" t="str">
        <x:v>Non vérifié</x:v>
      </x:c>
      <x:c r="E128" s="30" t="str"/>
      <x:c r="F128" s="30" t="str"/>
      <x:c r="G128" s="32" t="str"/>
      <x:c r="H128" s="33" t="str">
        <x:f>IF(I128&lt;&gt;"","Doublon possible","")</x:f>
      </x:c>
      <x:c r="I128" s="33" t="str">
        <x:f>IF(COUNTIFS($Y$9:$Y$678,Y128)&gt;1,"Nom + ville",IF(AND(Z128&lt;&gt;"",COUNTIFS($Z$9:$Z$678,Z128)&gt;1),"Téléphone",IF(AND(AA128&lt;&gt;"",COUNTIFS($AA$9:$AA$678,AA128)&gt;1),"Site web","")))</x:f>
      </x:c>
      <x:c r="J128" s="33" t="str">
        <x:v>Bijouterie Rayon d'or</x:v>
      </x:c>
      <x:c r="K128" s="33" t="str">
        <x:v>Commerces</x:v>
      </x:c>
      <x:c r="L128" s="33" t="str">
        <x:v>Boutiques</x:v>
      </x:c>
      <x:c r="M128" s="33" t="str">
        <x:v>Conakry (à vérifier)</x:v>
      </x:c>
      <x:c r="N128" s="33" t="str"/>
      <x:c r="O128" s="33" t="str"/>
      <x:c r="P128" s="33" t="str">
        <x:v>+224628887127</x:v>
      </x:c>
      <x:c r="Q128" s="33" t="str"/>
      <x:c r="R128" s="33" t="str"/>
      <x:c r="S128" s="33" t="str"/>
      <x:c r="T128" s="35" t="n">
        <x:v>9.5163717</x:v>
      </x:c>
      <x:c r="U128" s="35" t="n">
        <x:v>-13.6982785</x:v>
      </x:c>
      <x:c r="V128" s="33" t="str">
        <x:v>https://www.openstreetmap.org/node/5991401182</x:v>
      </x:c>
      <x:c r="W128" s="33" t="str">
        <x:v>node/5991401182</x:v>
      </x:c>
      <x:c r="X128" s="33" t="str">
        <x:v>review_required</x:v>
      </x:c>
      <x:c r="Y128" s="33" t="str">
        <x:v>bijouterie rayon d or|conakry a verifier</x:v>
      </x:c>
      <x:c r="Z128" s="33" t="str">
        <x:v>224628887127</x:v>
      </x:c>
      <x:c r="AA128" s="33" t="str"/>
    </x:row>
    <x:row r="129">
      <x:c r="A129" s="30" t="str">
        <x:v>À vérifier</x:v>
      </x:c>
      <x:c r="B129" s="30" t="str"/>
      <x:c r="C129" s="31"/>
      <x:c r="D129" s="30" t="str">
        <x:v>Non vérifié</x:v>
      </x:c>
      <x:c r="E129" s="30" t="str"/>
      <x:c r="F129" s="30" t="str"/>
      <x:c r="G129" s="32" t="str"/>
      <x:c r="H129" s="33" t="str">
        <x:f>IF(I129&lt;&gt;"","Doublon possible","")</x:f>
      </x:c>
      <x:c r="I129" s="33" t="str">
        <x:f>IF(COUNTIFS($Y$9:$Y$678,Y129)&gt;1,"Nom + ville",IF(AND(Z129&lt;&gt;"",COUNTIFS($Z$9:$Z$678,Z129)&gt;1),"Téléphone",IF(AND(AA129&lt;&gt;"",COUNTIFS($AA$9:$AA$678,AA129)&gt;1),"Site web","")))</x:f>
      </x:c>
      <x:c r="J129" s="33" t="str">
        <x:v>BK Style Fashion</x:v>
      </x:c>
      <x:c r="K129" s="33" t="str">
        <x:v>Commerces</x:v>
      </x:c>
      <x:c r="L129" s="33" t="str">
        <x:v>Habillement</x:v>
      </x:c>
      <x:c r="M129" s="33" t="str">
        <x:v>Conakry (à vérifier)</x:v>
      </x:c>
      <x:c r="N129" s="33" t="str"/>
      <x:c r="O129" s="33" t="str">
        <x:v>Pont Taouyah</x:v>
      </x:c>
      <x:c r="P129" s="33" t="str">
        <x:v>621570626</x:v>
      </x:c>
      <x:c r="Q129" s="33" t="str">
        <x:v>weezyklo22@gmail.com</x:v>
      </x:c>
      <x:c r="R129" s="33" t="str"/>
      <x:c r="S129" s="33" t="str"/>
      <x:c r="T129" s="35" t="n">
        <x:v>9.5814334</x:v>
      </x:c>
      <x:c r="U129" s="35" t="n">
        <x:v>-13.6641203</x:v>
      </x:c>
      <x:c r="V129" s="33" t="str">
        <x:v>https://www.openstreetmap.org/node/6178329486</x:v>
      </x:c>
      <x:c r="W129" s="33" t="str">
        <x:v>node/6178329486</x:v>
      </x:c>
      <x:c r="X129" s="33" t="str">
        <x:v>review_required</x:v>
      </x:c>
      <x:c r="Y129" s="33" t="str">
        <x:v>bk style fashion|conakry a verifier</x:v>
      </x:c>
      <x:c r="Z129" s="33" t="str">
        <x:v>224621570626</x:v>
      </x:c>
      <x:c r="AA129" s="33" t="str"/>
    </x:row>
    <x:row r="130">
      <x:c r="A130" s="30" t="str">
        <x:v>À vérifier</x:v>
      </x:c>
      <x:c r="B130" s="30" t="str"/>
      <x:c r="C130" s="31"/>
      <x:c r="D130" s="30" t="str">
        <x:v>Non vérifié</x:v>
      </x:c>
      <x:c r="E130" s="30" t="str"/>
      <x:c r="F130" s="30" t="str"/>
      <x:c r="G130" s="32" t="str"/>
      <x:c r="H130" s="33" t="str">
        <x:f>IF(I130&lt;&gt;"","Doublon possible","")</x:f>
      </x:c>
      <x:c r="I130" s="33" t="str">
        <x:f>IF(COUNTIFS($Y$9:$Y$678,Y130)&gt;1,"Nom + ville",IF(AND(Z130&lt;&gt;"",COUNTIFS($Z$9:$Z$678,Z130)&gt;1),"Téléphone",IF(AND(AA130&lt;&gt;"",COUNTIFS($AA$9:$AA$678,AA130)&gt;1),"Site web","")))</x:f>
      </x:c>
      <x:c r="J130" s="33" t="str">
        <x:v>Bleu Game Shop</x:v>
      </x:c>
      <x:c r="K130" s="33" t="str">
        <x:v>Commerces</x:v>
      </x:c>
      <x:c r="L130" s="33" t="str">
        <x:v>Boutiques</x:v>
      </x:c>
      <x:c r="M130" s="33" t="str">
        <x:v>Conakry (à vérifier)</x:v>
      </x:c>
      <x:c r="N130" s="33" t="str"/>
      <x:c r="O130" s="33" t="str"/>
      <x:c r="P130" s="33" t="str">
        <x:v>+224628790069</x:v>
      </x:c>
      <x:c r="Q130" s="33" t="str"/>
      <x:c r="R130" s="33" t="str"/>
      <x:c r="S130" s="33" t="str"/>
      <x:c r="T130" s="35" t="n">
        <x:v>9.6047888</x:v>
      </x:c>
      <x:c r="U130" s="35" t="n">
        <x:v>-13.6437991</x:v>
      </x:c>
      <x:c r="V130" s="33" t="str">
        <x:v>https://www.openstreetmap.org/node/6451798990</x:v>
      </x:c>
      <x:c r="W130" s="33" t="str">
        <x:v>node/6451798990</x:v>
      </x:c>
      <x:c r="X130" s="33" t="str">
        <x:v>review_required</x:v>
      </x:c>
      <x:c r="Y130" s="33" t="str">
        <x:v>bleu game shop|conakry a verifier</x:v>
      </x:c>
      <x:c r="Z130" s="33" t="str">
        <x:v>224628790069</x:v>
      </x:c>
      <x:c r="AA130" s="33" t="str"/>
    </x:row>
    <x:row r="131">
      <x:c r="A131" s="30" t="str">
        <x:v>À vérifier</x:v>
      </x:c>
      <x:c r="B131" s="30" t="str"/>
      <x:c r="C131" s="31"/>
      <x:c r="D131" s="30" t="str">
        <x:v>Non vérifié</x:v>
      </x:c>
      <x:c r="E131" s="30" t="str"/>
      <x:c r="F131" s="30" t="str"/>
      <x:c r="G131" s="32" t="str"/>
      <x:c r="H131" s="33" t="str">
        <x:f>IF(I131&lt;&gt;"","Doublon possible","")</x:f>
        <x:v>Doublon possible</x:v>
      </x:c>
      <x:c r="I131" s="33" t="str">
        <x:f>IF(COUNTIFS($Y$9:$Y$678,Y131)&gt;1,"Nom + ville",IF(AND(Z131&lt;&gt;"",COUNTIFS($Z$9:$Z$678,Z131)&gt;1),"Téléphone",IF(AND(AA131&lt;&gt;"",COUNTIFS($AA$9:$AA$678,AA131)&gt;1),"Site web","")))</x:f>
        <x:v>Nom + ville</x:v>
      </x:c>
      <x:c r="J131" s="33" t="str">
        <x:v>Cabinet médical</x:v>
      </x:c>
      <x:c r="K131" s="33" t="str">
        <x:v>Commerces</x:v>
      </x:c>
      <x:c r="L131" s="33" t="str">
        <x:v>Boutiques</x:v>
      </x:c>
      <x:c r="M131" s="33" t="str">
        <x:v>Conakry (à vérifier)</x:v>
      </x:c>
      <x:c r="N131" s="33" t="str"/>
      <x:c r="O131" s="33" t="str"/>
      <x:c r="P131" s="33" t="str">
        <x:v>+224622459725</x:v>
      </x:c>
      <x:c r="Q131" s="33" t="str"/>
      <x:c r="R131" s="33" t="str"/>
      <x:c r="S131" s="33" t="str"/>
      <x:c r="T131" s="35" t="n">
        <x:v>9.6492752</x:v>
      </x:c>
      <x:c r="U131" s="35" t="n">
        <x:v>-13.5934768</x:v>
      </x:c>
      <x:c r="V131" s="33" t="str">
        <x:v>https://www.openstreetmap.org/node/7372082919</x:v>
      </x:c>
      <x:c r="W131" s="33" t="str">
        <x:v>node/7372082919</x:v>
      </x:c>
      <x:c r="X131" s="33" t="str">
        <x:v>review_required</x:v>
      </x:c>
      <x:c r="Y131" s="33" t="str">
        <x:v>cabinet medical|conakry a verifier</x:v>
      </x:c>
      <x:c r="Z131" s="33" t="str">
        <x:v>224622459725</x:v>
      </x:c>
      <x:c r="AA131" s="33" t="str"/>
    </x:row>
    <x:row r="132">
      <x:c r="A132" s="30" t="str">
        <x:v>À vérifier</x:v>
      </x:c>
      <x:c r="B132" s="30" t="str"/>
      <x:c r="C132" s="31"/>
      <x:c r="D132" s="30" t="str">
        <x:v>Non vérifié</x:v>
      </x:c>
      <x:c r="E132" s="30" t="str"/>
      <x:c r="F132" s="30" t="str"/>
      <x:c r="G132" s="32" t="str"/>
      <x:c r="H132" s="33" t="str">
        <x:f>IF(I132&lt;&gt;"","Doublon possible","")</x:f>
      </x:c>
      <x:c r="I132" s="33" t="str">
        <x:f>IF(COUNTIFS($Y$9:$Y$678,Y132)&gt;1,"Nom + ville",IF(AND(Z132&lt;&gt;"",COUNTIFS($Z$9:$Z$678,Z132)&gt;1),"Téléphone",IF(AND(AA132&lt;&gt;"",COUNTIFS($AA$9:$AA$678,AA132)&gt;1),"Site web","")))</x:f>
      </x:c>
      <x:c r="J132" s="33" t="str">
        <x:v>Cell Phone Cyti</x:v>
      </x:c>
      <x:c r="K132" s="33" t="str">
        <x:v>Commerces</x:v>
      </x:c>
      <x:c r="L132" s="33" t="str">
        <x:v>Boutiques</x:v>
      </x:c>
      <x:c r="M132" s="33" t="str">
        <x:v>Conakry (à vérifier)</x:v>
      </x:c>
      <x:c r="N132" s="33" t="str"/>
      <x:c r="O132" s="33" t="str">
        <x:v>dixinne terrasse</x:v>
      </x:c>
      <x:c r="P132" s="33" t="str"/>
      <x:c r="Q132" s="33" t="str"/>
      <x:c r="R132" s="33" t="str"/>
      <x:c r="S132" s="33" t="str"/>
      <x:c r="T132" s="35" t="n">
        <x:v>9.5486457</x:v>
      </x:c>
      <x:c r="U132" s="35" t="n">
        <x:v>-13.6752308</x:v>
      </x:c>
      <x:c r="V132" s="33" t="str">
        <x:v>https://www.openstreetmap.org/node/5966329756</x:v>
      </x:c>
      <x:c r="W132" s="33" t="str">
        <x:v>node/5966329756</x:v>
      </x:c>
      <x:c r="X132" s="33" t="str">
        <x:v>review_required</x:v>
      </x:c>
      <x:c r="Y132" s="33" t="str">
        <x:v>cell phone cyti|conakry a verifier</x:v>
      </x:c>
      <x:c r="Z132" s="33" t="str"/>
      <x:c r="AA132" s="33" t="str"/>
    </x:row>
    <x:row r="133">
      <x:c r="A133" s="30" t="str">
        <x:v>À vérifier</x:v>
      </x:c>
      <x:c r="B133" s="30" t="str"/>
      <x:c r="C133" s="31"/>
      <x:c r="D133" s="30" t="str">
        <x:v>Non vérifié</x:v>
      </x:c>
      <x:c r="E133" s="30" t="str"/>
      <x:c r="F133" s="30" t="str"/>
      <x:c r="G133" s="32" t="str"/>
      <x:c r="H133" s="33" t="str">
        <x:f>IF(I133&lt;&gt;"","Doublon possible","")</x:f>
      </x:c>
      <x:c r="I133" s="33" t="str">
        <x:f>IF(COUNTIFS($Y$9:$Y$678,Y133)&gt;1,"Nom + ville",IF(AND(Z133&lt;&gt;"",COUNTIFS($Z$9:$Z$678,Z133)&gt;1),"Téléphone",IF(AND(AA133&lt;&gt;"",COUNTIFS($AA$9:$AA$678,AA133)&gt;1),"Site web","")))</x:f>
      </x:c>
      <x:c r="J133" s="33" t="str">
        <x:v>Centre Commercial Laye Kebe</x:v>
      </x:c>
      <x:c r="K133" s="33" t="str">
        <x:v>Commerces</x:v>
      </x:c>
      <x:c r="L133" s="33" t="str">
        <x:v>Centres commerciaux</x:v>
      </x:c>
      <x:c r="M133" s="33" t="str">
        <x:v>Conakry (à vérifier)</x:v>
      </x:c>
      <x:c r="N133" s="33" t="str"/>
      <x:c r="O133" s="33" t="str"/>
      <x:c r="P133" s="33" t="str">
        <x:v>+224666318488</x:v>
      </x:c>
      <x:c r="Q133" s="33" t="str"/>
      <x:c r="R133" s="33" t="str"/>
      <x:c r="S133" s="33" t="str"/>
      <x:c r="T133" s="35" t="n">
        <x:v>9.5554781</x:v>
      </x:c>
      <x:c r="U133" s="35" t="n">
        <x:v>-13.6582162</x:v>
      </x:c>
      <x:c r="V133" s="33" t="str">
        <x:v>https://www.openstreetmap.org/node/5977004674</x:v>
      </x:c>
      <x:c r="W133" s="33" t="str">
        <x:v>node/5977004674</x:v>
      </x:c>
      <x:c r="X133" s="33" t="str">
        <x:v>review_required</x:v>
      </x:c>
      <x:c r="Y133" s="33" t="str">
        <x:v>centre commercial laye kebe|conakry a verifier</x:v>
      </x:c>
      <x:c r="Z133" s="33" t="str">
        <x:v>224666318488</x:v>
      </x:c>
      <x:c r="AA133" s="33" t="str"/>
    </x:row>
    <x:row r="134">
      <x:c r="A134" s="30" t="str">
        <x:v>À vérifier</x:v>
      </x:c>
      <x:c r="B134" s="30" t="str"/>
      <x:c r="C134" s="31"/>
      <x:c r="D134" s="30" t="str">
        <x:v>Non vérifié</x:v>
      </x:c>
      <x:c r="E134" s="30" t="str"/>
      <x:c r="F134" s="30" t="str"/>
      <x:c r="G134" s="32" t="str"/>
      <x:c r="H134" s="33" t="str">
        <x:f>IF(I134&lt;&gt;"","Doublon possible","")</x:f>
      </x:c>
      <x:c r="I134" s="33" t="str">
        <x:f>IF(COUNTIFS($Y$9:$Y$678,Y134)&gt;1,"Nom + ville",IF(AND(Z134&lt;&gt;"",COUNTIFS($Z$9:$Z$678,Z134)&gt;1),"Téléphone",IF(AND(AA134&lt;&gt;"",COUNTIFS($AA$9:$AA$678,AA134)&gt;1),"Site web","")))</x:f>
      </x:c>
      <x:c r="J134" s="33" t="str">
        <x:v>Centre médico</x:v>
      </x:c>
      <x:c r="K134" s="33" t="str">
        <x:v>Commerces</x:v>
      </x:c>
      <x:c r="L134" s="33" t="str">
        <x:v>Boutiques</x:v>
      </x:c>
      <x:c r="M134" s="33" t="str">
        <x:v>Conakry (à vérifier)</x:v>
      </x:c>
      <x:c r="N134" s="33" t="str"/>
      <x:c r="O134" s="33" t="str"/>
      <x:c r="P134" s="33" t="str">
        <x:v>+224621981511</x:v>
      </x:c>
      <x:c r="Q134" s="33" t="str"/>
      <x:c r="R134" s="33" t="str"/>
      <x:c r="S134" s="33" t="str"/>
      <x:c r="T134" s="35" t="n">
        <x:v>9.6477758</x:v>
      </x:c>
      <x:c r="U134" s="35" t="n">
        <x:v>-13.591707</x:v>
      </x:c>
      <x:c r="V134" s="33" t="str">
        <x:v>https://www.openstreetmap.org/node/7372050124</x:v>
      </x:c>
      <x:c r="W134" s="33" t="str">
        <x:v>node/7372050124</x:v>
      </x:c>
      <x:c r="X134" s="33" t="str">
        <x:v>review_required</x:v>
      </x:c>
      <x:c r="Y134" s="33" t="str">
        <x:v>centre medico|conakry a verifier</x:v>
      </x:c>
      <x:c r="Z134" s="33" t="str">
        <x:v>224621981511</x:v>
      </x:c>
      <x:c r="AA134" s="33" t="str"/>
    </x:row>
    <x:row r="135">
      <x:c r="A135" s="30" t="str">
        <x:v>À vérifier</x:v>
      </x:c>
      <x:c r="B135" s="30" t="str"/>
      <x:c r="C135" s="31"/>
      <x:c r="D135" s="30" t="str">
        <x:v>Non vérifié</x:v>
      </x:c>
      <x:c r="E135" s="30" t="str"/>
      <x:c r="F135" s="30" t="str"/>
      <x:c r="G135" s="32" t="str"/>
      <x:c r="H135" s="33" t="str">
        <x:f>IF(I135&lt;&gt;"","Doublon possible","")</x:f>
      </x:c>
      <x:c r="I135" s="33" t="str">
        <x:f>IF(COUNTIFS($Y$9:$Y$678,Y135)&gt;1,"Nom + ville",IF(AND(Z135&lt;&gt;"",COUNTIFS($Z$9:$Z$678,Z135)&gt;1),"Téléphone",IF(AND(AA135&lt;&gt;"",COUNTIFS($AA$9:$AA$678,AA135)&gt;1),"Site web","")))</x:f>
      </x:c>
      <x:c r="J135" s="33" t="str">
        <x:v>Choix des reines chez MK</x:v>
      </x:c>
      <x:c r="K135" s="33" t="str">
        <x:v>Commerces</x:v>
      </x:c>
      <x:c r="L135" s="33" t="str">
        <x:v>Boutiques</x:v>
      </x:c>
      <x:c r="M135" s="33" t="str">
        <x:v>Conakry (à vérifier)</x:v>
      </x:c>
      <x:c r="N135" s="33" t="str"/>
      <x:c r="O135" s="33" t="str"/>
      <x:c r="P135" s="33" t="str">
        <x:v>620622648</x:v>
      </x:c>
      <x:c r="Q135" s="33" t="str"/>
      <x:c r="R135" s="33" t="str"/>
      <x:c r="S135" s="33" t="str"/>
      <x:c r="T135" s="35" t="n">
        <x:v>9.6373262</x:v>
      </x:c>
      <x:c r="U135" s="35" t="n">
        <x:v>-13.6149647</x:v>
      </x:c>
      <x:c r="V135" s="33" t="str">
        <x:v>https://www.openstreetmap.org/node/10706353585</x:v>
      </x:c>
      <x:c r="W135" s="33" t="str">
        <x:v>node/10706353585</x:v>
      </x:c>
      <x:c r="X135" s="33" t="str">
        <x:v>review_required</x:v>
      </x:c>
      <x:c r="Y135" s="33" t="str">
        <x:v>choix des reines chez mk|conakry a verifier</x:v>
      </x:c>
      <x:c r="Z135" s="33" t="str">
        <x:v>224620622648</x:v>
      </x:c>
      <x:c r="AA135" s="33" t="str"/>
    </x:row>
    <x:row r="136">
      <x:c r="A136" s="30" t="str">
        <x:v>À vérifier</x:v>
      </x:c>
      <x:c r="B136" s="30" t="str"/>
      <x:c r="C136" s="31"/>
      <x:c r="D136" s="30" t="str">
        <x:v>Non vérifié</x:v>
      </x:c>
      <x:c r="E136" s="30" t="str"/>
      <x:c r="F136" s="30" t="str"/>
      <x:c r="G136" s="32" t="str"/>
      <x:c r="H136" s="33" t="str">
        <x:f>IF(I136&lt;&gt;"","Doublon possible","")</x:f>
      </x:c>
      <x:c r="I136" s="33" t="str">
        <x:f>IF(COUNTIFS($Y$9:$Y$678,Y136)&gt;1,"Nom + ville",IF(AND(Z136&lt;&gt;"",COUNTIFS($Z$9:$Z$678,Z136)&gt;1),"Téléphone",IF(AND(AA136&lt;&gt;"",COUNTIFS($AA$9:$AA$678,AA136)&gt;1),"Site web","")))</x:f>
      </x:c>
      <x:c r="J136" s="33" t="str">
        <x:v>Christine Coiffure</x:v>
      </x:c>
      <x:c r="K136" s="33" t="str">
        <x:v>Commerces</x:v>
      </x:c>
      <x:c r="L136" s="33" t="str">
        <x:v>Boutiques</x:v>
      </x:c>
      <x:c r="M136" s="33" t="str">
        <x:v>Conakry (à vérifier)</x:v>
      </x:c>
      <x:c r="N136" s="33" t="str"/>
      <x:c r="O136" s="33" t="str"/>
      <x:c r="P136" s="33" t="str">
        <x:v>626961320 / 664558557</x:v>
      </x:c>
      <x:c r="Q136" s="33" t="str"/>
      <x:c r="R136" s="33" t="str"/>
      <x:c r="S136" s="33" t="str"/>
      <x:c r="T136" s="35" t="n">
        <x:v>9.6708137</x:v>
      </x:c>
      <x:c r="U136" s="35" t="n">
        <x:v>-13.5812356</x:v>
      </x:c>
      <x:c r="V136" s="33" t="str">
        <x:v>https://www.openstreetmap.org/node/6899816533</x:v>
      </x:c>
      <x:c r="W136" s="33" t="str">
        <x:v>node/6899816533</x:v>
      </x:c>
      <x:c r="X136" s="33" t="str">
        <x:v>review_required</x:v>
      </x:c>
      <x:c r="Y136" s="33" t="str">
        <x:v>christine coiffure|conakry a verifier</x:v>
      </x:c>
      <x:c r="Z136" s="33" t="str">
        <x:v>626961320664558557</x:v>
      </x:c>
      <x:c r="AA136" s="33" t="str"/>
    </x:row>
    <x:row r="137">
      <x:c r="A137" s="30" t="str">
        <x:v>À vérifier</x:v>
      </x:c>
      <x:c r="B137" s="30" t="str"/>
      <x:c r="C137" s="31"/>
      <x:c r="D137" s="30" t="str">
        <x:v>Non vérifié</x:v>
      </x:c>
      <x:c r="E137" s="30" t="str"/>
      <x:c r="F137" s="30" t="str"/>
      <x:c r="G137" s="32" t="str"/>
      <x:c r="H137" s="33" t="str">
        <x:f>IF(I137&lt;&gt;"","Doublon possible","")</x:f>
        <x:v>Doublon possible</x:v>
      </x:c>
      <x:c r="I137" s="33" t="str">
        <x:f>IF(COUNTIFS($Y$9:$Y$678,Y137)&gt;1,"Nom + ville",IF(AND(Z137&lt;&gt;"",COUNTIFS($Z$9:$Z$678,Z137)&gt;1),"Téléphone",IF(AND(AA137&lt;&gt;"",COUNTIFS($AA$9:$AA$678,AA137)&gt;1),"Site web","")))</x:f>
        <x:v>Nom + ville</x:v>
      </x:c>
      <x:c r="J137" s="33" t="str">
        <x:v>City Market</x:v>
      </x:c>
      <x:c r="K137" s="33" t="str">
        <x:v>Commerces</x:v>
      </x:c>
      <x:c r="L137" s="33" t="str">
        <x:v>Supermarchés</x:v>
      </x:c>
      <x:c r="M137" s="33" t="str">
        <x:v>Conakry (à vérifier)</x:v>
      </x:c>
      <x:c r="N137" s="33" t="str"/>
      <x:c r="O137" s="33" t="str"/>
      <x:c r="P137" s="33" t="str">
        <x:v>+224622182121</x:v>
      </x:c>
      <x:c r="Q137" s="33" t="str"/>
      <x:c r="R137" s="33" t="str"/>
      <x:c r="S137" s="33" t="str"/>
      <x:c r="T137" s="35" t="n">
        <x:v>9.5324132</x:v>
      </x:c>
      <x:c r="U137" s="35" t="n">
        <x:v>-13.6804212</x:v>
      </x:c>
      <x:c r="V137" s="33" t="str">
        <x:v>https://www.openstreetmap.org/node/4901664724</x:v>
      </x:c>
      <x:c r="W137" s="33" t="str">
        <x:v>node/4901664724</x:v>
      </x:c>
      <x:c r="X137" s="33" t="str">
        <x:v>review_required</x:v>
      </x:c>
      <x:c r="Y137" s="33" t="str">
        <x:v>city market|conakry a verifier</x:v>
      </x:c>
      <x:c r="Z137" s="33" t="str">
        <x:v>224622182121</x:v>
      </x:c>
      <x:c r="AA137" s="33" t="str"/>
    </x:row>
    <x:row r="138">
      <x:c r="A138" s="30" t="str">
        <x:v>À vérifier</x:v>
      </x:c>
      <x:c r="B138" s="30" t="str"/>
      <x:c r="C138" s="31"/>
      <x:c r="D138" s="30" t="str">
        <x:v>Non vérifié</x:v>
      </x:c>
      <x:c r="E138" s="30" t="str"/>
      <x:c r="F138" s="30" t="str"/>
      <x:c r="G138" s="32" t="str"/>
      <x:c r="H138" s="33" t="str">
        <x:f>IF(I138&lt;&gt;"","Doublon possible","")</x:f>
        <x:v>Doublon possible</x:v>
      </x:c>
      <x:c r="I138" s="33" t="str">
        <x:f>IF(COUNTIFS($Y$9:$Y$678,Y138)&gt;1,"Nom + ville",IF(AND(Z138&lt;&gt;"",COUNTIFS($Z$9:$Z$678,Z138)&gt;1),"Téléphone",IF(AND(AA138&lt;&gt;"",COUNTIFS($AA$9:$AA$678,AA138)&gt;1),"Site web","")))</x:f>
        <x:v>Nom + ville</x:v>
      </x:c>
      <x:c r="J138" s="33" t="str">
        <x:v>City market</x:v>
      </x:c>
      <x:c r="K138" s="33" t="str">
        <x:v>Commerces</x:v>
      </x:c>
      <x:c r="L138" s="33" t="str">
        <x:v>Supermarchés</x:v>
      </x:c>
      <x:c r="M138" s="33" t="str">
        <x:v>Conakry (à vérifier)</x:v>
      </x:c>
      <x:c r="N138" s="33" t="str"/>
      <x:c r="O138" s="33" t="str"/>
      <x:c r="P138" s="33" t="str">
        <x:v>629222233</x:v>
      </x:c>
      <x:c r="Q138" s="33" t="str"/>
      <x:c r="R138" s="33" t="str"/>
      <x:c r="S138" s="33" t="str"/>
      <x:c r="T138" s="35" t="n">
        <x:v>9.6058881</x:v>
      </x:c>
      <x:c r="U138" s="35" t="n">
        <x:v>-13.6481145</x:v>
      </x:c>
      <x:c r="V138" s="33" t="str">
        <x:v>https://www.openstreetmap.org/node/6339341227</x:v>
      </x:c>
      <x:c r="W138" s="33" t="str">
        <x:v>node/6339341227</x:v>
      </x:c>
      <x:c r="X138" s="33" t="str">
        <x:v>review_required</x:v>
      </x:c>
      <x:c r="Y138" s="33" t="str">
        <x:v>city market|conakry a verifier</x:v>
      </x:c>
      <x:c r="Z138" s="33" t="str">
        <x:v>224629222233</x:v>
      </x:c>
      <x:c r="AA138" s="33" t="str"/>
    </x:row>
    <x:row r="139">
      <x:c r="A139" s="30" t="str">
        <x:v>À vérifier</x:v>
      </x:c>
      <x:c r="B139" s="30" t="str"/>
      <x:c r="C139" s="31"/>
      <x:c r="D139" s="30" t="str">
        <x:v>Non vérifié</x:v>
      </x:c>
      <x:c r="E139" s="30" t="str"/>
      <x:c r="F139" s="30" t="str"/>
      <x:c r="G139" s="32" t="str"/>
      <x:c r="H139" s="33" t="str">
        <x:f>IF(I139&lt;&gt;"","Doublon possible","")</x:f>
      </x:c>
      <x:c r="I139" s="33" t="str">
        <x:f>IF(COUNTIFS($Y$9:$Y$678,Y139)&gt;1,"Nom + ville",IF(AND(Z139&lt;&gt;"",COUNTIFS($Z$9:$Z$678,Z139)&gt;1),"Téléphone",IF(AND(AA139&lt;&gt;"",COUNTIFS($AA$9:$AA$678,AA139)&gt;1),"Site web","")))</x:f>
      </x:c>
      <x:c r="J139" s="33" t="str">
        <x:v>Diallo Mamadou</x:v>
      </x:c>
      <x:c r="K139" s="33" t="str">
        <x:v>Commerces</x:v>
      </x:c>
      <x:c r="L139" s="33" t="str">
        <x:v>Boutiques</x:v>
      </x:c>
      <x:c r="M139" s="33" t="str">
        <x:v>Conakry (à vérifier)</x:v>
      </x:c>
      <x:c r="N139" s="33" t="str"/>
      <x:c r="O139" s="33" t="str"/>
      <x:c r="P139" s="33" t="str">
        <x:v>622300475</x:v>
      </x:c>
      <x:c r="Q139" s="33" t="str"/>
      <x:c r="R139" s="33" t="str"/>
      <x:c r="S139" s="33" t="str"/>
      <x:c r="T139" s="35" t="n">
        <x:v>9.7088307</x:v>
      </x:c>
      <x:c r="U139" s="35" t="n">
        <x:v>-13.5091987</x:v>
      </x:c>
      <x:c r="V139" s="33" t="str">
        <x:v>https://www.openstreetmap.org/node/7211449142</x:v>
      </x:c>
      <x:c r="W139" s="33" t="str">
        <x:v>node/7211449142</x:v>
      </x:c>
      <x:c r="X139" s="33" t="str">
        <x:v>review_required</x:v>
      </x:c>
      <x:c r="Y139" s="33" t="str">
        <x:v>diallo mamadou|conakry a verifier</x:v>
      </x:c>
      <x:c r="Z139" s="33" t="str">
        <x:v>224622300475</x:v>
      </x:c>
      <x:c r="AA139" s="33" t="str"/>
    </x:row>
    <x:row r="140">
      <x:c r="A140" s="30" t="str">
        <x:v>À vérifier</x:v>
      </x:c>
      <x:c r="B140" s="30" t="str"/>
      <x:c r="C140" s="31"/>
      <x:c r="D140" s="30" t="str">
        <x:v>Non vérifié</x:v>
      </x:c>
      <x:c r="E140" s="30" t="str"/>
      <x:c r="F140" s="30" t="str"/>
      <x:c r="G140" s="32" t="str"/>
      <x:c r="H140" s="33" t="str">
        <x:f>IF(I140&lt;&gt;"","Doublon possible","")</x:f>
      </x:c>
      <x:c r="I140" s="33" t="str">
        <x:f>IF(COUNTIFS($Y$9:$Y$678,Y140)&gt;1,"Nom + ville",IF(AND(Z140&lt;&gt;"",COUNTIFS($Z$9:$Z$678,Z140)&gt;1),"Téléphone",IF(AND(AA140&lt;&gt;"",COUNTIFS($AA$9:$AA$678,AA140)&gt;1),"Site web","")))</x:f>
      </x:c>
      <x:c r="J140" s="33" t="str">
        <x:v>Electronique</x:v>
      </x:c>
      <x:c r="K140" s="33" t="str">
        <x:v>Commerces</x:v>
      </x:c>
      <x:c r="L140" s="33" t="str">
        <x:v>Électronique</x:v>
      </x:c>
      <x:c r="M140" s="33" t="str">
        <x:v>Conakry (à vérifier)</x:v>
      </x:c>
      <x:c r="N140" s="33" t="str"/>
      <x:c r="O140" s="33" t="str">
        <x:v>PBP/CAM DM-0018 48</x:v>
      </x:c>
      <x:c r="P140" s="33" t="str"/>
      <x:c r="Q140" s="33" t="str"/>
      <x:c r="R140" s="33" t="str"/>
      <x:c r="S140" s="33" t="str"/>
      <x:c r="T140" s="35" t="n">
        <x:v>9.5475897</x:v>
      </x:c>
      <x:c r="U140" s="35" t="n">
        <x:v>-13.6735988</x:v>
      </x:c>
      <x:c r="V140" s="33" t="str">
        <x:v>https://www.openstreetmap.org/node/5966557504</x:v>
      </x:c>
      <x:c r="W140" s="33" t="str">
        <x:v>node/5966557504</x:v>
      </x:c>
      <x:c r="X140" s="33" t="str">
        <x:v>review_required</x:v>
      </x:c>
      <x:c r="Y140" s="33" t="str">
        <x:v>electronique|conakry a verifier</x:v>
      </x:c>
      <x:c r="Z140" s="33" t="str"/>
      <x:c r="AA140" s="33" t="str"/>
    </x:row>
    <x:row r="141">
      <x:c r="A141" s="30" t="str">
        <x:v>À vérifier</x:v>
      </x:c>
      <x:c r="B141" s="30" t="str"/>
      <x:c r="C141" s="31"/>
      <x:c r="D141" s="30" t="str">
        <x:v>Non vérifié</x:v>
      </x:c>
      <x:c r="E141" s="30" t="str"/>
      <x:c r="F141" s="30" t="str"/>
      <x:c r="G141" s="32" t="str"/>
      <x:c r="H141" s="33" t="str">
        <x:f>IF(I141&lt;&gt;"","Doublon possible","")</x:f>
      </x:c>
      <x:c r="I141" s="33" t="str">
        <x:f>IF(COUNTIFS($Y$9:$Y$678,Y141)&gt;1,"Nom + ville",IF(AND(Z141&lt;&gt;"",COUNTIFS($Z$9:$Z$678,Z141)&gt;1),"Téléphone",IF(AND(AA141&lt;&gt;"",COUNTIFS($AA$9:$AA$678,AA141)&gt;1),"Site web","")))</x:f>
      </x:c>
      <x:c r="J141" s="33" t="str">
        <x:v>Emirates Airlines</x:v>
      </x:c>
      <x:c r="K141" s="33" t="str">
        <x:v>Commerces</x:v>
      </x:c>
      <x:c r="L141" s="33" t="str">
        <x:v>Boutiques</x:v>
      </x:c>
      <x:c r="M141" s="33" t="str">
        <x:v>Conakry (à vérifier)</x:v>
      </x:c>
      <x:c r="N141" s="33" t="str"/>
      <x:c r="O141" s="33" t="str">
        <x:v>Avenue de la République</x:v>
      </x:c>
      <x:c r="P141" s="33" t="str"/>
      <x:c r="Q141" s="33" t="str"/>
      <x:c r="R141" s="33" t="str"/>
      <x:c r="S141" s="33" t="str"/>
      <x:c r="T141" s="35" t="n">
        <x:v>9.5089731</x:v>
      </x:c>
      <x:c r="U141" s="35" t="n">
        <x:v>-13.7121022</x:v>
      </x:c>
      <x:c r="V141" s="33" t="str">
        <x:v>https://www.openstreetmap.org/node/4846248422</x:v>
      </x:c>
      <x:c r="W141" s="33" t="str">
        <x:v>node/4846248422</x:v>
      </x:c>
      <x:c r="X141" s="33" t="str">
        <x:v>review_required</x:v>
      </x:c>
      <x:c r="Y141" s="33" t="str">
        <x:v>emirates airlines|conakry a verifier</x:v>
      </x:c>
      <x:c r="Z141" s="33" t="str"/>
      <x:c r="AA141" s="33" t="str"/>
    </x:row>
    <x:row r="142">
      <x:c r="A142" s="30" t="str">
        <x:v>À vérifier</x:v>
      </x:c>
      <x:c r="B142" s="30" t="str"/>
      <x:c r="C142" s="31"/>
      <x:c r="D142" s="30" t="str">
        <x:v>Non vérifié</x:v>
      </x:c>
      <x:c r="E142" s="30" t="str"/>
      <x:c r="F142" s="30" t="str"/>
      <x:c r="G142" s="32" t="str"/>
      <x:c r="H142" s="33" t="str">
        <x:f>IF(I142&lt;&gt;"","Doublon possible","")</x:f>
      </x:c>
      <x:c r="I142" s="33" t="str">
        <x:f>IF(COUNTIFS($Y$9:$Y$678,Y142)&gt;1,"Nom + ville",IF(AND(Z142&lt;&gt;"",COUNTIFS($Z$9:$Z$678,Z142)&gt;1),"Téléphone",IF(AND(AA142&lt;&gt;"",COUNTIFS($AA$9:$AA$678,AA142)&gt;1),"Site web","")))</x:f>
      </x:c>
      <x:c r="J142" s="33" t="str">
        <x:v>Ets Meubles et Decor Mariame Sylla</x:v>
      </x:c>
      <x:c r="K142" s="33" t="str">
        <x:v>Commerces</x:v>
      </x:c>
      <x:c r="L142" s="33" t="str">
        <x:v>Boutiques</x:v>
      </x:c>
      <x:c r="M142" s="33" t="str">
        <x:v>Conakry (à vérifier)</x:v>
      </x:c>
      <x:c r="N142" s="33" t="str"/>
      <x:c r="O142" s="33" t="str">
        <x:v>Sankoumbaya, KISSOSSO</x:v>
      </x:c>
      <x:c r="P142" s="33" t="str">
        <x:v>620597985</x:v>
      </x:c>
      <x:c r="Q142" s="33" t="str"/>
      <x:c r="R142" s="33" t="str"/>
      <x:c r="S142" s="33" t="str"/>
      <x:c r="T142" s="35" t="n">
        <x:v>9.6318027</x:v>
      </x:c>
      <x:c r="U142" s="35" t="n">
        <x:v>-13.5738084</x:v>
      </x:c>
      <x:c r="V142" s="33" t="str">
        <x:v>https://www.openstreetmap.org/node/9158466960</x:v>
      </x:c>
      <x:c r="W142" s="33" t="str">
        <x:v>node/9158466960</x:v>
      </x:c>
      <x:c r="X142" s="33" t="str">
        <x:v>review_required</x:v>
      </x:c>
      <x:c r="Y142" s="33" t="str">
        <x:v>ets meubles et decor mariame sylla|conakry a verifier</x:v>
      </x:c>
      <x:c r="Z142" s="33" t="str">
        <x:v>224620597985</x:v>
      </x:c>
      <x:c r="AA142" s="33" t="str"/>
    </x:row>
    <x:row r="143">
      <x:c r="A143" s="30" t="str">
        <x:v>À vérifier</x:v>
      </x:c>
      <x:c r="B143" s="30" t="str"/>
      <x:c r="C143" s="31"/>
      <x:c r="D143" s="30" t="str">
        <x:v>Non vérifié</x:v>
      </x:c>
      <x:c r="E143" s="30" t="str"/>
      <x:c r="F143" s="30" t="str"/>
      <x:c r="G143" s="32" t="str"/>
      <x:c r="H143" s="33" t="str">
        <x:f>IF(I143&lt;&gt;"","Doublon possible","")</x:f>
      </x:c>
      <x:c r="I143" s="33" t="str">
        <x:f>IF(COUNTIFS($Y$9:$Y$678,Y143)&gt;1,"Nom + ville",IF(AND(Z143&lt;&gt;"",COUNTIFS($Z$9:$Z$678,Z143)&gt;1),"Téléphone",IF(AND(AA143&lt;&gt;"",COUNTIFS($AA$9:$AA$678,AA143)&gt;1),"Site web","")))</x:f>
      </x:c>
      <x:c r="J143" s="33" t="str">
        <x:v>Ets T G shop</x:v>
      </x:c>
      <x:c r="K143" s="33" t="str">
        <x:v>Commerces</x:v>
      </x:c>
      <x:c r="L143" s="33" t="str">
        <x:v>Boutiques</x:v>
      </x:c>
      <x:c r="M143" s="33" t="str">
        <x:v>Conakry (à vérifier)</x:v>
      </x:c>
      <x:c r="N143" s="33" t="str"/>
      <x:c r="O143" s="33" t="str">
        <x:v>immeuble Mama dalaba</x:v>
      </x:c>
      <x:c r="P143" s="33" t="str"/>
      <x:c r="Q143" s="33" t="str"/>
      <x:c r="R143" s="33" t="str"/>
      <x:c r="S143" s="33" t="str"/>
      <x:c r="T143" s="35" t="n">
        <x:v>9.5478714</x:v>
      </x:c>
      <x:c r="U143" s="35" t="n">
        <x:v>-13.6733622</x:v>
      </x:c>
      <x:c r="V143" s="33" t="str">
        <x:v>https://www.openstreetmap.org/node/5966756335</x:v>
      </x:c>
      <x:c r="W143" s="33" t="str">
        <x:v>node/5966756335</x:v>
      </x:c>
      <x:c r="X143" s="33" t="str">
        <x:v>review_required</x:v>
      </x:c>
      <x:c r="Y143" s="33" t="str">
        <x:v>ets t g shop|conakry a verifier</x:v>
      </x:c>
      <x:c r="Z143" s="33" t="str"/>
      <x:c r="AA143" s="33" t="str"/>
    </x:row>
    <x:row r="144">
      <x:c r="A144" s="30" t="str">
        <x:v>À vérifier</x:v>
      </x:c>
      <x:c r="B144" s="30" t="str"/>
      <x:c r="C144" s="31"/>
      <x:c r="D144" s="30" t="str">
        <x:v>Non vérifié</x:v>
      </x:c>
      <x:c r="E144" s="30" t="str"/>
      <x:c r="F144" s="30" t="str"/>
      <x:c r="G144" s="32" t="str"/>
      <x:c r="H144" s="33" t="str">
        <x:f>IF(I144&lt;&gt;"","Doublon possible","")</x:f>
      </x:c>
      <x:c r="I144" s="33" t="str">
        <x:f>IF(COUNTIFS($Y$9:$Y$678,Y144)&gt;1,"Nom + ville",IF(AND(Z144&lt;&gt;"",COUNTIFS($Z$9:$Z$678,Z144)&gt;1),"Téléphone",IF(AND(AA144&lt;&gt;"",COUNTIFS($AA$9:$AA$678,AA144)&gt;1),"Site web","")))</x:f>
      </x:c>
      <x:c r="J144" s="33" t="str">
        <x:v>Fatima Make-up</x:v>
      </x:c>
      <x:c r="K144" s="33" t="str">
        <x:v>Commerces</x:v>
      </x:c>
      <x:c r="L144" s="33" t="str">
        <x:v>Boutiques</x:v>
      </x:c>
      <x:c r="M144" s="33" t="str">
        <x:v>Conakry (à vérifier)</x:v>
      </x:c>
      <x:c r="N144" s="33" t="str"/>
      <x:c r="O144" s="33" t="str"/>
      <x:c r="P144" s="33" t="str">
        <x:v>622747896</x:v>
      </x:c>
      <x:c r="Q144" s="33" t="str">
        <x:v>condefadi@gmail.com</x:v>
      </x:c>
      <x:c r="R144" s="33" t="str"/>
      <x:c r="S144" s="33" t="str"/>
      <x:c r="T144" s="35" t="n">
        <x:v>9.5684819</x:v>
      </x:c>
      <x:c r="U144" s="35" t="n">
        <x:v>-13.6389736</x:v>
      </x:c>
      <x:c r="V144" s="33" t="str">
        <x:v>https://www.openstreetmap.org/node/6179201916</x:v>
      </x:c>
      <x:c r="W144" s="33" t="str">
        <x:v>node/6179201916</x:v>
      </x:c>
      <x:c r="X144" s="33" t="str">
        <x:v>review_required</x:v>
      </x:c>
      <x:c r="Y144" s="33" t="str">
        <x:v>fatima make up|conakry a verifier</x:v>
      </x:c>
      <x:c r="Z144" s="33" t="str">
        <x:v>224622747896</x:v>
      </x:c>
      <x:c r="AA144" s="33" t="str"/>
    </x:row>
    <x:row r="145">
      <x:c r="A145" s="30" t="str">
        <x:v>À vérifier</x:v>
      </x:c>
      <x:c r="B145" s="30" t="str"/>
      <x:c r="C145" s="31"/>
      <x:c r="D145" s="30" t="str">
        <x:v>Non vérifié</x:v>
      </x:c>
      <x:c r="E145" s="30" t="str"/>
      <x:c r="F145" s="30" t="str"/>
      <x:c r="G145" s="32" t="str"/>
      <x:c r="H145" s="33" t="str">
        <x:f>IF(I145&lt;&gt;"","Doublon possible","")</x:f>
      </x:c>
      <x:c r="I145" s="33" t="str">
        <x:f>IF(COUNTIFS($Y$9:$Y$678,Y145)&gt;1,"Nom + ville",IF(AND(Z145&lt;&gt;"",COUNTIFS($Z$9:$Z$678,Z145)&gt;1),"Téléphone",IF(AND(AA145&lt;&gt;"",COUNTIFS($AA$9:$AA$678,AA145)&gt;1),"Site web","")))</x:f>
      </x:c>
      <x:c r="J145" s="33" t="str">
        <x:v>Feu Elhadj Sekou Kanté</x:v>
      </x:c>
      <x:c r="K145" s="33" t="str">
        <x:v>Commerces</x:v>
      </x:c>
      <x:c r="L145" s="33" t="str">
        <x:v>Boutiques</x:v>
      </x:c>
      <x:c r="M145" s="33" t="str">
        <x:v>Conakry (à vérifier)</x:v>
      </x:c>
      <x:c r="N145" s="33" t="str"/>
      <x:c r="O145" s="33" t="str">
        <x:v>é</x:v>
      </x:c>
      <x:c r="P145" s="33" t="str"/>
      <x:c r="Q145" s="33" t="str"/>
      <x:c r="R145" s="33" t="str"/>
      <x:c r="S145" s="33" t="str"/>
      <x:c r="T145" s="35" t="n">
        <x:v>9.5489328</x:v>
      </x:c>
      <x:c r="U145" s="35" t="n">
        <x:v>-13.6745593</x:v>
      </x:c>
      <x:c r="V145" s="33" t="str">
        <x:v>https://www.openstreetmap.org/node/5966555596</x:v>
      </x:c>
      <x:c r="W145" s="33" t="str">
        <x:v>node/5966555596</x:v>
      </x:c>
      <x:c r="X145" s="33" t="str">
        <x:v>review_required</x:v>
      </x:c>
      <x:c r="Y145" s="33" t="str">
        <x:v>feu elhadj sekou kante|conakry a verifier</x:v>
      </x:c>
      <x:c r="Z145" s="33" t="str"/>
      <x:c r="AA145" s="33" t="str"/>
    </x:row>
    <x:row r="146">
      <x:c r="A146" s="30" t="str">
        <x:v>À vérifier</x:v>
      </x:c>
      <x:c r="B146" s="30" t="str"/>
      <x:c r="C146" s="31"/>
      <x:c r="D146" s="30" t="str">
        <x:v>Non vérifié</x:v>
      </x:c>
      <x:c r="E146" s="30" t="str"/>
      <x:c r="F146" s="30" t="str"/>
      <x:c r="G146" s="32" t="str"/>
      <x:c r="H146" s="33" t="str">
        <x:f>IF(I146&lt;&gt;"","Doublon possible","")</x:f>
      </x:c>
      <x:c r="I146" s="33" t="str">
        <x:f>IF(COUNTIFS($Y$9:$Y$678,Y146)&gt;1,"Nom + ville",IF(AND(Z146&lt;&gt;"",COUNTIFS($Z$9:$Z$678,Z146)&gt;1),"Téléphone",IF(AND(AA146&lt;&gt;"",COUNTIFS($AA$9:$AA$678,AA146)&gt;1),"Site web","")))</x:f>
      </x:c>
      <x:c r="J146" s="33" t="str">
        <x:v>Guinée voyage</x:v>
      </x:c>
      <x:c r="K146" s="33" t="str">
        <x:v>Commerces</x:v>
      </x:c>
      <x:c r="L146" s="33" t="str">
        <x:v>Boutiques</x:v>
      </x:c>
      <x:c r="M146" s="33" t="str">
        <x:v>CONAKRY</x:v>
      </x:c>
      <x:c r="N146" s="33" t="str"/>
      <x:c r="O146" s="33" t="str">
        <x:v>Dixinn Gare</x:v>
      </x:c>
      <x:c r="P146" s="33" t="str">
        <x:v>+224628220123</x:v>
      </x:c>
      <x:c r="Q146" s="33" t="str">
        <x:v>ibrahima.guisse@guineevoyages.com</x:v>
      </x:c>
      <x:c r="R146" s="33" t="str">
        <x:v>http://www.guineevoyages.com/</x:v>
      </x:c>
      <x:c r="S146" s="33" t="str"/>
      <x:c r="T146" s="35" t="n">
        <x:v>9.5492716</x:v>
      </x:c>
      <x:c r="U146" s="35" t="n">
        <x:v>-13.6608971</x:v>
      </x:c>
      <x:c r="V146" s="33" t="str">
        <x:v>https://www.openstreetmap.org/node/5784053068</x:v>
      </x:c>
      <x:c r="W146" s="33" t="str">
        <x:v>node/5784053068</x:v>
      </x:c>
      <x:c r="X146" s="33" t="str">
        <x:v>review_required</x:v>
      </x:c>
      <x:c r="Y146" s="33" t="str">
        <x:v>guinee voyage|conakry</x:v>
      </x:c>
      <x:c r="Z146" s="33" t="str">
        <x:v>224628220123</x:v>
      </x:c>
      <x:c r="AA146" s="33" t="str">
        <x:v>guineevoyages.com</x:v>
      </x:c>
    </x:row>
    <x:row r="147">
      <x:c r="A147" s="30" t="str">
        <x:v>À vérifier</x:v>
      </x:c>
      <x:c r="B147" s="30" t="str"/>
      <x:c r="C147" s="31"/>
      <x:c r="D147" s="30" t="str">
        <x:v>Non vérifié</x:v>
      </x:c>
      <x:c r="E147" s="30" t="str"/>
      <x:c r="F147" s="30" t="str"/>
      <x:c r="G147" s="32" t="str"/>
      <x:c r="H147" s="33" t="str">
        <x:f>IF(I147&lt;&gt;"","Doublon possible","")</x:f>
      </x:c>
      <x:c r="I147" s="33" t="str">
        <x:f>IF(COUNTIFS($Y$9:$Y$678,Y147)&gt;1,"Nom + ville",IF(AND(Z147&lt;&gt;"",COUNTIFS($Z$9:$Z$678,Z147)&gt;1),"Téléphone",IF(AND(AA147&lt;&gt;"",COUNTIFS($AA$9:$AA$678,AA147)&gt;1),"Site web","")))</x:f>
      </x:c>
      <x:c r="J147" s="33" t="str">
        <x:v>Imprimerie MAB</x:v>
      </x:c>
      <x:c r="K147" s="33" t="str">
        <x:v>Commerces</x:v>
      </x:c>
      <x:c r="L147" s="33" t="str">
        <x:v>Boutiques</x:v>
      </x:c>
      <x:c r="M147" s="33" t="str">
        <x:v>Conakry (à vérifier)</x:v>
      </x:c>
      <x:c r="N147" s="33" t="str"/>
      <x:c r="O147" s="33" t="str"/>
      <x:c r="P147" s="33" t="str">
        <x:v>625727391/657615623</x:v>
      </x:c>
      <x:c r="Q147" s="33" t="str"/>
      <x:c r="R147" s="33" t="str"/>
      <x:c r="S147" s="33" t="str"/>
      <x:c r="T147" s="35" t="n">
        <x:v>9.5470118</x:v>
      </x:c>
      <x:c r="U147" s="35" t="n">
        <x:v>-13.6721602</x:v>
      </x:c>
      <x:c r="V147" s="33" t="str">
        <x:v>https://www.openstreetmap.org/node/7298753933</x:v>
      </x:c>
      <x:c r="W147" s="33" t="str">
        <x:v>node/7298753933</x:v>
      </x:c>
      <x:c r="X147" s="33" t="str">
        <x:v>review_required</x:v>
      </x:c>
      <x:c r="Y147" s="33" t="str">
        <x:v>imprimerie mab|conakry a verifier</x:v>
      </x:c>
      <x:c r="Z147" s="33" t="str">
        <x:v>625727391657615623</x:v>
      </x:c>
      <x:c r="AA147" s="33" t="str"/>
    </x:row>
    <x:row r="148">
      <x:c r="A148" s="30" t="str">
        <x:v>À vérifier</x:v>
      </x:c>
      <x:c r="B148" s="30" t="str"/>
      <x:c r="C148" s="31"/>
      <x:c r="D148" s="30" t="str">
        <x:v>Non vérifié</x:v>
      </x:c>
      <x:c r="E148" s="30" t="str"/>
      <x:c r="F148" s="30" t="str"/>
      <x:c r="G148" s="32" t="str"/>
      <x:c r="H148" s="33" t="str">
        <x:f>IF(I148&lt;&gt;"","Doublon possible","")</x:f>
      </x:c>
      <x:c r="I148" s="33" t="str">
        <x:f>IF(COUNTIFS($Y$9:$Y$678,Y148)&gt;1,"Nom + ville",IF(AND(Z148&lt;&gt;"",COUNTIFS($Z$9:$Z$678,Z148)&gt;1),"Téléphone",IF(AND(AA148&lt;&gt;"",COUNTIFS($AA$9:$AA$678,AA148)&gt;1),"Site web","")))</x:f>
      </x:c>
      <x:c r="J148" s="33" t="str">
        <x:v>Institut de beauté ALIMA coiffure</x:v>
      </x:c>
      <x:c r="K148" s="33" t="str">
        <x:v>Commerces</x:v>
      </x:c>
      <x:c r="L148" s="33" t="str">
        <x:v>Boutiques</x:v>
      </x:c>
      <x:c r="M148" s="33" t="str">
        <x:v>Conakry (à vérifier)</x:v>
      </x:c>
      <x:c r="N148" s="33" t="str"/>
      <x:c r="O148" s="33" t="str"/>
      <x:c r="P148" s="33" t="str">
        <x:v>+224621529291</x:v>
      </x:c>
      <x:c r="Q148" s="33" t="str"/>
      <x:c r="R148" s="33" t="str"/>
      <x:c r="S148" s="33" t="str"/>
      <x:c r="T148" s="35" t="n">
        <x:v>9.6672341</x:v>
      </x:c>
      <x:c r="U148" s="35" t="n">
        <x:v>-13.5610225</x:v>
      </x:c>
      <x:c r="V148" s="33" t="str">
        <x:v>https://www.openstreetmap.org/node/6618878297</x:v>
      </x:c>
      <x:c r="W148" s="33" t="str">
        <x:v>node/6618878297</x:v>
      </x:c>
      <x:c r="X148" s="33" t="str">
        <x:v>review_required</x:v>
      </x:c>
      <x:c r="Y148" s="33" t="str">
        <x:v>institut de beaute alima coiffure|conakry a verifier</x:v>
      </x:c>
      <x:c r="Z148" s="33" t="str">
        <x:v>224621529291</x:v>
      </x:c>
      <x:c r="AA148" s="33" t="str"/>
    </x:row>
    <x:row r="149">
      <x:c r="A149" s="30" t="str">
        <x:v>À vérifier</x:v>
      </x:c>
      <x:c r="B149" s="30" t="str"/>
      <x:c r="C149" s="31"/>
      <x:c r="D149" s="30" t="str">
        <x:v>Non vérifié</x:v>
      </x:c>
      <x:c r="E149" s="30" t="str"/>
      <x:c r="F149" s="30" t="str"/>
      <x:c r="G149" s="32" t="str"/>
      <x:c r="H149" s="33" t="str">
        <x:f>IF(I149&lt;&gt;"","Doublon possible","")</x:f>
      </x:c>
      <x:c r="I149" s="33" t="str">
        <x:f>IF(COUNTIFS($Y$9:$Y$678,Y149)&gt;1,"Nom + ville",IF(AND(Z149&lt;&gt;"",COUNTIFS($Z$9:$Z$678,Z149)&gt;1),"Téléphone",IF(AND(AA149&lt;&gt;"",COUNTIFS($AA$9:$AA$678,AA149)&gt;1),"Site web","")))</x:f>
      </x:c>
      <x:c r="J149" s="33" t="str">
        <x:v>Kubi Print</x:v>
      </x:c>
      <x:c r="K149" s="33" t="str">
        <x:v>Commerces</x:v>
      </x:c>
      <x:c r="L149" s="33" t="str">
        <x:v>Boutiques</x:v>
      </x:c>
      <x:c r="M149" s="33" t="str">
        <x:v>Conakry (à vérifier)</x:v>
      </x:c>
      <x:c r="N149" s="33" t="str"/>
      <x:c r="O149" s="33" t="str">
        <x:v>A2</x:v>
      </x:c>
      <x:c r="P149" s="33" t="str"/>
      <x:c r="Q149" s="33" t="str"/>
      <x:c r="R149" s="33" t="str"/>
      <x:c r="S149" s="33" t="str"/>
      <x:c r="T149" s="35" t="n">
        <x:v>9.5479518</x:v>
      </x:c>
      <x:c r="U149" s="35" t="n">
        <x:v>-13.6736399</x:v>
      </x:c>
      <x:c r="V149" s="33" t="str">
        <x:v>https://www.openstreetmap.org/node/5966758428</x:v>
      </x:c>
      <x:c r="W149" s="33" t="str">
        <x:v>node/5966758428</x:v>
      </x:c>
      <x:c r="X149" s="33" t="str">
        <x:v>review_required</x:v>
      </x:c>
      <x:c r="Y149" s="33" t="str">
        <x:v>kubi print|conakry a verifier</x:v>
      </x:c>
      <x:c r="Z149" s="33" t="str"/>
      <x:c r="AA149" s="33" t="str"/>
    </x:row>
    <x:row r="150">
      <x:c r="A150" s="30" t="str">
        <x:v>À vérifier</x:v>
      </x:c>
      <x:c r="B150" s="30" t="str"/>
      <x:c r="C150" s="31"/>
      <x:c r="D150" s="30" t="str">
        <x:v>Non vérifié</x:v>
      </x:c>
      <x:c r="E150" s="30" t="str"/>
      <x:c r="F150" s="30" t="str"/>
      <x:c r="G150" s="32" t="str"/>
      <x:c r="H150" s="33" t="str">
        <x:f>IF(I150&lt;&gt;"","Doublon possible","")</x:f>
      </x:c>
      <x:c r="I150" s="33" t="str">
        <x:f>IF(COUNTIFS($Y$9:$Y$678,Y150)&gt;1,"Nom + ville",IF(AND(Z150&lt;&gt;"",COUNTIFS($Z$9:$Z$678,Z150)&gt;1),"Téléphone",IF(AND(AA150&lt;&gt;"",COUNTIFS($AA$9:$AA$678,AA150)&gt;1),"Site web","")))</x:f>
      </x:c>
      <x:c r="J150" s="33" t="str">
        <x:v>Lakhissa Fashion</x:v>
      </x:c>
      <x:c r="K150" s="33" t="str">
        <x:v>Commerces</x:v>
      </x:c>
      <x:c r="L150" s="33" t="str">
        <x:v>Habillement</x:v>
      </x:c>
      <x:c r="M150" s="33" t="str">
        <x:v>Conakry (à vérifier)</x:v>
      </x:c>
      <x:c r="N150" s="33" t="str"/>
      <x:c r="O150" s="33" t="str"/>
      <x:c r="P150" s="33" t="str">
        <x:v>+224623087692</x:v>
      </x:c>
      <x:c r="Q150" s="33" t="str">
        <x:v>lakhissafashion@hotmail.fr</x:v>
      </x:c>
      <x:c r="R150" s="33" t="str"/>
      <x:c r="S150" s="33" t="str"/>
      <x:c r="T150" s="35" t="n">
        <x:v>9.5319882</x:v>
      </x:c>
      <x:c r="U150" s="35" t="n">
        <x:v>-13.6870809</x:v>
      </x:c>
      <x:c r="V150" s="33" t="str">
        <x:v>https://www.openstreetmap.org/node/5861167958</x:v>
      </x:c>
      <x:c r="W150" s="33" t="str">
        <x:v>node/5861167958</x:v>
      </x:c>
      <x:c r="X150" s="33" t="str">
        <x:v>review_required</x:v>
      </x:c>
      <x:c r="Y150" s="33" t="str">
        <x:v>lakhissa fashion|conakry a verifier</x:v>
      </x:c>
      <x:c r="Z150" s="33" t="str">
        <x:v>224623087692</x:v>
      </x:c>
      <x:c r="AA150" s="33" t="str"/>
    </x:row>
    <x:row r="151">
      <x:c r="A151" s="30" t="str">
        <x:v>À vérifier</x:v>
      </x:c>
      <x:c r="B151" s="30" t="str"/>
      <x:c r="C151" s="31"/>
      <x:c r="D151" s="30" t="str">
        <x:v>Non vérifié</x:v>
      </x:c>
      <x:c r="E151" s="30" t="str"/>
      <x:c r="F151" s="30" t="str"/>
      <x:c r="G151" s="32" t="str"/>
      <x:c r="H151" s="33" t="str">
        <x:f>IF(I151&lt;&gt;"","Doublon possible","")</x:f>
      </x:c>
      <x:c r="I151" s="33" t="str">
        <x:f>IF(COUNTIFS($Y$9:$Y$678,Y151)&gt;1,"Nom + ville",IF(AND(Z151&lt;&gt;"",COUNTIFS($Z$9:$Z$678,Z151)&gt;1),"Téléphone",IF(AND(AA151&lt;&gt;"",COUNTIFS($AA$9:$AA$678,AA151)&gt;1),"Site web","")))</x:f>
      </x:c>
      <x:c r="J151" s="33" t="str">
        <x:v>Les Jumelles</x:v>
      </x:c>
      <x:c r="K151" s="33" t="str">
        <x:v>Commerces</x:v>
      </x:c>
      <x:c r="L151" s="33" t="str">
        <x:v>Boutiques</x:v>
      </x:c>
      <x:c r="M151" s="33" t="str">
        <x:v>Conakry (à vérifier)</x:v>
      </x:c>
      <x:c r="N151" s="33" t="str"/>
      <x:c r="O151" s="33" t="str"/>
      <x:c r="P151" s="33" t="str">
        <x:v>626059665</x:v>
      </x:c>
      <x:c r="Q151" s="33" t="str"/>
      <x:c r="R151" s="33" t="str"/>
      <x:c r="S151" s="33" t="str"/>
      <x:c r="T151" s="35" t="n">
        <x:v>9.5505526</x:v>
      </x:c>
      <x:c r="U151" s="35" t="n">
        <x:v>-13.676322</x:v>
      </x:c>
      <x:c r="V151" s="33" t="str">
        <x:v>https://www.openstreetmap.org/node/5966547838</x:v>
      </x:c>
      <x:c r="W151" s="33" t="str">
        <x:v>node/5966547838</x:v>
      </x:c>
      <x:c r="X151" s="33" t="str">
        <x:v>review_required</x:v>
      </x:c>
      <x:c r="Y151" s="33" t="str">
        <x:v>les jumelles|conakry a verifier</x:v>
      </x:c>
      <x:c r="Z151" s="33" t="str">
        <x:v>224626059665</x:v>
      </x:c>
      <x:c r="AA151" s="33" t="str"/>
    </x:row>
    <x:row r="152">
      <x:c r="A152" s="30" t="str">
        <x:v>À vérifier</x:v>
      </x:c>
      <x:c r="B152" s="30" t="str"/>
      <x:c r="C152" s="31"/>
      <x:c r="D152" s="30" t="str">
        <x:v>Non vérifié</x:v>
      </x:c>
      <x:c r="E152" s="30" t="str"/>
      <x:c r="F152" s="30" t="str"/>
      <x:c r="G152" s="32" t="str"/>
      <x:c r="H152" s="33" t="str">
        <x:f>IF(I152&lt;&gt;"","Doublon possible","")</x:f>
      </x:c>
      <x:c r="I152" s="33" t="str">
        <x:f>IF(COUNTIFS($Y$9:$Y$678,Y152)&gt;1,"Nom + ville",IF(AND(Z152&lt;&gt;"",COUNTIFS($Z$9:$Z$678,Z152)&gt;1),"Téléphone",IF(AND(AA152&lt;&gt;"",COUNTIFS($AA$9:$AA$678,AA152)&gt;1),"Site web","")))</x:f>
      </x:c>
      <x:c r="J152" s="33" t="str">
        <x:v>Librairie chez Mamadou Diallo</x:v>
      </x:c>
      <x:c r="K152" s="33" t="str">
        <x:v>Commerces</x:v>
      </x:c>
      <x:c r="L152" s="33" t="str">
        <x:v>Boutiques</x:v>
      </x:c>
      <x:c r="M152" s="33" t="str">
        <x:v>Conakry (à vérifier)</x:v>
      </x:c>
      <x:c r="N152" s="33" t="str"/>
      <x:c r="O152" s="33" t="str"/>
      <x:c r="P152" s="33" t="str">
        <x:v>+224628447390</x:v>
      </x:c>
      <x:c r="Q152" s="33" t="str"/>
      <x:c r="R152" s="33" t="str"/>
      <x:c r="S152" s="33" t="str"/>
      <x:c r="T152" s="35" t="n">
        <x:v>9.6674742</x:v>
      </x:c>
      <x:c r="U152" s="35" t="n">
        <x:v>-13.5609893</x:v>
      </x:c>
      <x:c r="V152" s="33" t="str">
        <x:v>https://www.openstreetmap.org/node/6618843880</x:v>
      </x:c>
      <x:c r="W152" s="33" t="str">
        <x:v>node/6618843880</x:v>
      </x:c>
      <x:c r="X152" s="33" t="str">
        <x:v>review_required</x:v>
      </x:c>
      <x:c r="Y152" s="33" t="str">
        <x:v>librairie chez mamadou diallo|conakry a verifier</x:v>
      </x:c>
      <x:c r="Z152" s="33" t="str">
        <x:v>224628447390</x:v>
      </x:c>
      <x:c r="AA152" s="33" t="str"/>
    </x:row>
    <x:row r="153">
      <x:c r="A153" s="30" t="str">
        <x:v>À vérifier</x:v>
      </x:c>
      <x:c r="B153" s="30" t="str"/>
      <x:c r="C153" s="31"/>
      <x:c r="D153" s="30" t="str">
        <x:v>Non vérifié</x:v>
      </x:c>
      <x:c r="E153" s="30" t="str"/>
      <x:c r="F153" s="30" t="str"/>
      <x:c r="G153" s="32" t="str"/>
      <x:c r="H153" s="33" t="str">
        <x:f>IF(I153&lt;&gt;"","Doublon possible","")</x:f>
      </x:c>
      <x:c r="I153" s="33" t="str">
        <x:f>IF(COUNTIFS($Y$9:$Y$678,Y153)&gt;1,"Nom + ville",IF(AND(Z153&lt;&gt;"",COUNTIFS($Z$9:$Z$678,Z153)&gt;1),"Téléphone",IF(AND(AA153&lt;&gt;"",COUNTIFS($AA$9:$AA$678,AA153)&gt;1),"Site web","")))</x:f>
      </x:c>
      <x:c r="J153" s="33" t="str">
        <x:v>Logement Doumbouya</x:v>
      </x:c>
      <x:c r="K153" s="33" t="str">
        <x:v>Commerces</x:v>
      </x:c>
      <x:c r="L153" s="33" t="str">
        <x:v>Boutiques</x:v>
      </x:c>
      <x:c r="M153" s="33" t="str">
        <x:v>Conakry</x:v>
      </x:c>
      <x:c r="N153" s="33" t="str"/>
      <x:c r="O153" s="33" t="str"/>
      <x:c r="P153" s="33" t="str">
        <x:v>00224620719292</x:v>
      </x:c>
      <x:c r="Q153" s="33" t="str"/>
      <x:c r="R153" s="33" t="str"/>
      <x:c r="S153" s="33" t="str"/>
      <x:c r="T153" s="35" t="n">
        <x:v>9.6377999</x:v>
      </x:c>
      <x:c r="U153" s="35" t="n">
        <x:v>-13.5705411</x:v>
      </x:c>
      <x:c r="V153" s="33" t="str">
        <x:v>https://www.openstreetmap.org/node/8266698963</x:v>
      </x:c>
      <x:c r="W153" s="33" t="str">
        <x:v>node/8266698963</x:v>
      </x:c>
      <x:c r="X153" s="33" t="str">
        <x:v>review_required</x:v>
      </x:c>
      <x:c r="Y153" s="33" t="str">
        <x:v>logement doumbouya|conakry</x:v>
      </x:c>
      <x:c r="Z153" s="33" t="str">
        <x:v>224620719292</x:v>
      </x:c>
      <x:c r="AA153" s="33" t="str"/>
    </x:row>
    <x:row r="154">
      <x:c r="A154" s="30" t="str">
        <x:v>À vérifier</x:v>
      </x:c>
      <x:c r="B154" s="30" t="str"/>
      <x:c r="C154" s="31"/>
      <x:c r="D154" s="30" t="str">
        <x:v>Non vérifié</x:v>
      </x:c>
      <x:c r="E154" s="30" t="str"/>
      <x:c r="F154" s="30" t="str"/>
      <x:c r="G154" s="32" t="str"/>
      <x:c r="H154" s="33" t="str">
        <x:f>IF(I154&lt;&gt;"","Doublon possible","")</x:f>
      </x:c>
      <x:c r="I154" s="33" t="str">
        <x:f>IF(COUNTIFS($Y$9:$Y$678,Y154)&gt;1,"Nom + ville",IF(AND(Z154&lt;&gt;"",COUNTIFS($Z$9:$Z$678,Z154)&gt;1),"Téléphone",IF(AND(AA154&lt;&gt;"",COUNTIFS($AA$9:$AA$678,AA154)&gt;1),"Site web","")))</x:f>
      </x:c>
      <x:c r="J154" s="33" t="str">
        <x:v>Mabalka Investment LTD</x:v>
      </x:c>
      <x:c r="K154" s="33" t="str">
        <x:v>Commerces</x:v>
      </x:c>
      <x:c r="L154" s="33" t="str">
        <x:v>Boutiques</x:v>
      </x:c>
      <x:c r="M154" s="33" t="str">
        <x:v>conakry</x:v>
      </x:c>
      <x:c r="N154" s="33" t="str"/>
      <x:c r="O154" s="33" t="str">
        <x:v>J974+7F2, kaporo J974+7F2, Conakry, Guinée</x:v>
      </x:c>
      <x:c r="P154" s="33" t="str">
        <x:v>+224627585377</x:v>
      </x:c>
      <x:c r="Q154" s="33" t="str"/>
      <x:c r="R154" s="33" t="str"/>
      <x:c r="S154" s="33" t="str"/>
      <x:c r="T154" s="35" t="n">
        <x:v>9.6131118</x:v>
      </x:c>
      <x:c r="U154" s="35" t="n">
        <x:v>-13.6438148</x:v>
      </x:c>
      <x:c r="V154" s="33" t="str">
        <x:v>https://www.openstreetmap.org/way/892626027</x:v>
      </x:c>
      <x:c r="W154" s="33" t="str">
        <x:v>way/892626027</x:v>
      </x:c>
      <x:c r="X154" s="33" t="str">
        <x:v>review_required</x:v>
      </x:c>
      <x:c r="Y154" s="33" t="str">
        <x:v>mabalka investment ltd|conakry</x:v>
      </x:c>
      <x:c r="Z154" s="33" t="str">
        <x:v>224627585377</x:v>
      </x:c>
      <x:c r="AA154" s="33" t="str"/>
    </x:row>
    <x:row r="155">
      <x:c r="A155" s="30" t="str">
        <x:v>À vérifier</x:v>
      </x:c>
      <x:c r="B155" s="30" t="str"/>
      <x:c r="C155" s="31"/>
      <x:c r="D155" s="30" t="str">
        <x:v>Non vérifié</x:v>
      </x:c>
      <x:c r="E155" s="30" t="str"/>
      <x:c r="F155" s="30" t="str"/>
      <x:c r="G155" s="32" t="str"/>
      <x:c r="H155" s="33" t="str">
        <x:f>IF(I155&lt;&gt;"","Doublon possible","")</x:f>
      </x:c>
      <x:c r="I155" s="33" t="str">
        <x:f>IF(COUNTIFS($Y$9:$Y$678,Y155)&gt;1,"Nom + ville",IF(AND(Z155&lt;&gt;"",COUNTIFS($Z$9:$Z$678,Z155)&gt;1),"Téléphone",IF(AND(AA155&lt;&gt;"",COUNTIFS($AA$9:$AA$678,AA155)&gt;1),"Site web","")))</x:f>
      </x:c>
      <x:c r="J155" s="33" t="str">
        <x:v>Meilun Original</x:v>
      </x:c>
      <x:c r="K155" s="33" t="str">
        <x:v>Commerces</x:v>
      </x:c>
      <x:c r="L155" s="33" t="str">
        <x:v>Boutiques</x:v>
      </x:c>
      <x:c r="M155" s="33" t="str">
        <x:v>Conakry (à vérifier)</x:v>
      </x:c>
      <x:c r="N155" s="33" t="str"/>
      <x:c r="O155" s="33" t="str"/>
      <x:c r="P155" s="33" t="str">
        <x:v>+224627010194</x:v>
      </x:c>
      <x:c r="Q155" s="33" t="str"/>
      <x:c r="R155" s="33" t="str"/>
      <x:c r="S155" s="33" t="str"/>
      <x:c r="T155" s="35" t="n">
        <x:v>9.5422302</x:v>
      </x:c>
      <x:c r="U155" s="35" t="n">
        <x:v>-13.6620583</x:v>
      </x:c>
      <x:c r="V155" s="33" t="str">
        <x:v>https://www.openstreetmap.org/node/5946414496</x:v>
      </x:c>
      <x:c r="W155" s="33" t="str">
        <x:v>node/5946414496</x:v>
      </x:c>
      <x:c r="X155" s="33" t="str">
        <x:v>review_required</x:v>
      </x:c>
      <x:c r="Y155" s="33" t="str">
        <x:v>meilun original|conakry a verifier</x:v>
      </x:c>
      <x:c r="Z155" s="33" t="str">
        <x:v>224627010194</x:v>
      </x:c>
      <x:c r="AA155" s="33" t="str"/>
    </x:row>
    <x:row r="156">
      <x:c r="A156" s="30" t="str">
        <x:v>À vérifier</x:v>
      </x:c>
      <x:c r="B156" s="30" t="str"/>
      <x:c r="C156" s="31"/>
      <x:c r="D156" s="30" t="str">
        <x:v>Non vérifié</x:v>
      </x:c>
      <x:c r="E156" s="30" t="str"/>
      <x:c r="F156" s="30" t="str"/>
      <x:c r="G156" s="32" t="str"/>
      <x:c r="H156" s="33" t="str">
        <x:f>IF(I156&lt;&gt;"","Doublon possible","")</x:f>
      </x:c>
      <x:c r="I156" s="33" t="str">
        <x:f>IF(COUNTIFS($Y$9:$Y$678,Y156)&gt;1,"Nom + ville",IF(AND(Z156&lt;&gt;"",COUNTIFS($Z$9:$Z$678,Z156)&gt;1),"Téléphone",IF(AND(AA156&lt;&gt;"",COUNTIFS($AA$9:$AA$678,AA156)&gt;1),"Site web","")))</x:f>
      </x:c>
      <x:c r="J156" s="33" t="str">
        <x:v>Mille &amp; Merveille</x:v>
      </x:c>
      <x:c r="K156" s="33" t="str">
        <x:v>Commerces</x:v>
      </x:c>
      <x:c r="L156" s="33" t="str">
        <x:v>Boutiques</x:v>
      </x:c>
      <x:c r="M156" s="33" t="str">
        <x:v>Conakry (à vérifier)</x:v>
      </x:c>
      <x:c r="N156" s="33" t="str"/>
      <x:c r="O156" s="33" t="str"/>
      <x:c r="P156" s="33" t="str">
        <x:v>+224662860732</x:v>
      </x:c>
      <x:c r="Q156" s="33" t="str"/>
      <x:c r="R156" s="33" t="str"/>
      <x:c r="S156" s="33" t="str"/>
      <x:c r="T156" s="35" t="n">
        <x:v>9.5495463</x:v>
      </x:c>
      <x:c r="U156" s="35" t="n">
        <x:v>-13.6764777</x:v>
      </x:c>
      <x:c r="V156" s="33" t="str">
        <x:v>https://www.openstreetmap.org/node/5966548122</x:v>
      </x:c>
      <x:c r="W156" s="33" t="str">
        <x:v>node/5966548122</x:v>
      </x:c>
      <x:c r="X156" s="33" t="str">
        <x:v>review_required</x:v>
      </x:c>
      <x:c r="Y156" s="33" t="str">
        <x:v>mille merveille|conakry a verifier</x:v>
      </x:c>
      <x:c r="Z156" s="33" t="str">
        <x:v>224662860732</x:v>
      </x:c>
      <x:c r="AA156" s="33" t="str"/>
    </x:row>
    <x:row r="157">
      <x:c r="A157" s="30" t="str">
        <x:v>À vérifier</x:v>
      </x:c>
      <x:c r="B157" s="30" t="str"/>
      <x:c r="C157" s="31"/>
      <x:c r="D157" s="30" t="str">
        <x:v>Non vérifié</x:v>
      </x:c>
      <x:c r="E157" s="30" t="str"/>
      <x:c r="F157" s="30" t="str"/>
      <x:c r="G157" s="32" t="str"/>
      <x:c r="H157" s="33" t="str">
        <x:f>IF(I157&lt;&gt;"","Doublon possible","")</x:f>
      </x:c>
      <x:c r="I157" s="33" t="str">
        <x:f>IF(COUNTIFS($Y$9:$Y$678,Y157)&gt;1,"Nom + ville",IF(AND(Z157&lt;&gt;"",COUNTIFS($Z$9:$Z$678,Z157)&gt;1),"Téléphone",IF(AND(AA157&lt;&gt;"",COUNTIFS($AA$9:$AA$678,AA157)&gt;1),"Site web","")))</x:f>
      </x:c>
      <x:c r="J157" s="33" t="str">
        <x:v>Minthé Coiffure</x:v>
      </x:c>
      <x:c r="K157" s="33" t="str">
        <x:v>Commerces</x:v>
      </x:c>
      <x:c r="L157" s="33" t="str">
        <x:v>Boutiques</x:v>
      </x:c>
      <x:c r="M157" s="33" t="str">
        <x:v>Conakry (à vérifier)</x:v>
      </x:c>
      <x:c r="N157" s="33" t="str"/>
      <x:c r="O157" s="33" t="str"/>
      <x:c r="P157" s="33" t="str">
        <x:v>628786800</x:v>
      </x:c>
      <x:c r="Q157" s="33" t="str"/>
      <x:c r="R157" s="33" t="str"/>
      <x:c r="S157" s="33" t="str"/>
      <x:c r="T157" s="35" t="n">
        <x:v>9.6267208</x:v>
      </x:c>
      <x:c r="U157" s="35" t="n">
        <x:v>-13.5946289</x:v>
      </x:c>
      <x:c r="V157" s="33" t="str">
        <x:v>https://www.openstreetmap.org/node/6328556671</x:v>
      </x:c>
      <x:c r="W157" s="33" t="str">
        <x:v>node/6328556671</x:v>
      </x:c>
      <x:c r="X157" s="33" t="str">
        <x:v>review_required</x:v>
      </x:c>
      <x:c r="Y157" s="33" t="str">
        <x:v>minthe coiffure|conakry a verifier</x:v>
      </x:c>
      <x:c r="Z157" s="33" t="str">
        <x:v>224628786800</x:v>
      </x:c>
      <x:c r="AA157" s="33" t="str"/>
    </x:row>
    <x:row r="158">
      <x:c r="A158" s="30" t="str">
        <x:v>À vérifier</x:v>
      </x:c>
      <x:c r="B158" s="30" t="str"/>
      <x:c r="C158" s="31"/>
      <x:c r="D158" s="30" t="str">
        <x:v>Non vérifié</x:v>
      </x:c>
      <x:c r="E158" s="30" t="str"/>
      <x:c r="F158" s="30" t="str"/>
      <x:c r="G158" s="32" t="str"/>
      <x:c r="H158" s="33" t="str">
        <x:f>IF(I158&lt;&gt;"","Doublon possible","")</x:f>
      </x:c>
      <x:c r="I158" s="33" t="str">
        <x:f>IF(COUNTIFS($Y$9:$Y$678,Y158)&gt;1,"Nom + ville",IF(AND(Z158&lt;&gt;"",COUNTIFS($Z$9:$Z$678,Z158)&gt;1),"Téléphone",IF(AND(AA158&lt;&gt;"",COUNTIFS($AA$9:$AA$678,AA158)&gt;1),"Site web","")))</x:f>
      </x:c>
      <x:c r="J158" s="33" t="str">
        <x:v>NEW GLOBAL VISION GUINEE</x:v>
      </x:c>
      <x:c r="K158" s="33" t="str">
        <x:v>Commerces</x:v>
      </x:c>
      <x:c r="L158" s="33" t="str">
        <x:v>Boutiques</x:v>
      </x:c>
      <x:c r="M158" s="33" t="str">
        <x:v>CONAKARY</x:v>
      </x:c>
      <x:c r="N158" s="33" t="str"/>
      <x:c r="O158" s="33" t="str">
        <x:v>SONFONIA T7</x:v>
      </x:c>
      <x:c r="P158" s="33" t="str">
        <x:v>+224622960960</x:v>
      </x:c>
      <x:c r="Q158" s="33" t="str"/>
      <x:c r="R158" s="33" t="str"/>
      <x:c r="S158" s="33" t="str"/>
      <x:c r="T158" s="35" t="n">
        <x:v>9.6695658</x:v>
      </x:c>
      <x:c r="U158" s="35" t="n">
        <x:v>-13.5586112</x:v>
      </x:c>
      <x:c r="V158" s="33" t="str">
        <x:v>https://www.openstreetmap.org/node/13147427126</x:v>
      </x:c>
      <x:c r="W158" s="33" t="str">
        <x:v>node/13147427126</x:v>
      </x:c>
      <x:c r="X158" s="33" t="str">
        <x:v>review_required</x:v>
      </x:c>
      <x:c r="Y158" s="33" t="str">
        <x:v>new global vision guinee|conakary</x:v>
      </x:c>
      <x:c r="Z158" s="33" t="str">
        <x:v>224622960960</x:v>
      </x:c>
      <x:c r="AA158" s="33" t="str"/>
    </x:row>
    <x:row r="159">
      <x:c r="A159" s="30" t="str">
        <x:v>À vérifier</x:v>
      </x:c>
      <x:c r="B159" s="30" t="str"/>
      <x:c r="C159" s="31"/>
      <x:c r="D159" s="30" t="str">
        <x:v>Non vérifié</x:v>
      </x:c>
      <x:c r="E159" s="30" t="str"/>
      <x:c r="F159" s="30" t="str"/>
      <x:c r="G159" s="32" t="str"/>
      <x:c r="H159" s="33" t="str">
        <x:f>IF(I159&lt;&gt;"","Doublon possible","")</x:f>
      </x:c>
      <x:c r="I159" s="33" t="str">
        <x:f>IF(COUNTIFS($Y$9:$Y$678,Y159)&gt;1,"Nom + ville",IF(AND(Z159&lt;&gt;"",COUNTIFS($Z$9:$Z$678,Z159)&gt;1),"Téléphone",IF(AND(AA159&lt;&gt;"",COUNTIFS($AA$9:$AA$678,AA159)&gt;1),"Site web","")))</x:f>
      </x:c>
      <x:c r="J159" s="33" t="str">
        <x:v>Papeterie Aimal</x:v>
      </x:c>
      <x:c r="K159" s="33" t="str">
        <x:v>Commerces</x:v>
      </x:c>
      <x:c r="L159" s="33" t="str">
        <x:v>Boutiques</x:v>
      </x:c>
      <x:c r="M159" s="33" t="str">
        <x:v>Conakry (à vérifier)</x:v>
      </x:c>
      <x:c r="N159" s="33" t="str"/>
      <x:c r="O159" s="33" t="str">
        <x:v>A 8</x:v>
      </x:c>
      <x:c r="P159" s="33" t="str"/>
      <x:c r="Q159" s="33" t="str"/>
      <x:c r="R159" s="33" t="str"/>
      <x:c r="S159" s="33" t="str"/>
      <x:c r="T159" s="35" t="n">
        <x:v>9.5479886</x:v>
      </x:c>
      <x:c r="U159" s="35" t="n">
        <x:v>-13.6737324</x:v>
      </x:c>
      <x:c r="V159" s="33" t="str">
        <x:v>https://www.openstreetmap.org/node/5966758430</x:v>
      </x:c>
      <x:c r="W159" s="33" t="str">
        <x:v>node/5966758430</x:v>
      </x:c>
      <x:c r="X159" s="33" t="str">
        <x:v>review_required</x:v>
      </x:c>
      <x:c r="Y159" s="33" t="str">
        <x:v>papeterie aimal|conakry a verifier</x:v>
      </x:c>
      <x:c r="Z159" s="33" t="str"/>
      <x:c r="AA159" s="33" t="str"/>
    </x:row>
    <x:row r="160">
      <x:c r="A160" s="30" t="str">
        <x:v>À vérifier</x:v>
      </x:c>
      <x:c r="B160" s="30" t="str"/>
      <x:c r="C160" s="31"/>
      <x:c r="D160" s="30" t="str">
        <x:v>Non vérifié</x:v>
      </x:c>
      <x:c r="E160" s="30" t="str"/>
      <x:c r="F160" s="30" t="str"/>
      <x:c r="G160" s="32" t="str"/>
      <x:c r="H160" s="33" t="str">
        <x:f>IF(I160&lt;&gt;"","Doublon possible","")</x:f>
      </x:c>
      <x:c r="I160" s="33" t="str">
        <x:f>IF(COUNTIFS($Y$9:$Y$678,Y160)&gt;1,"Nom + ville",IF(AND(Z160&lt;&gt;"",COUNTIFS($Z$9:$Z$678,Z160)&gt;1),"Téléphone",IF(AND(AA160&lt;&gt;"",COUNTIFS($AA$9:$AA$678,AA160)&gt;1),"Site web","")))</x:f>
      </x:c>
      <x:c r="J160" s="33" t="str">
        <x:v>Papeterie Cisse et Fils</x:v>
      </x:c>
      <x:c r="K160" s="33" t="str">
        <x:v>Commerces</x:v>
      </x:c>
      <x:c r="L160" s="33" t="str">
        <x:v>Boutiques</x:v>
      </x:c>
      <x:c r="M160" s="33" t="str">
        <x:v>Conakry (à vérifier)</x:v>
      </x:c>
      <x:c r="N160" s="33" t="str"/>
      <x:c r="O160" s="33" t="str">
        <x:v>PBP/CAM DM-0018 45</x:v>
      </x:c>
      <x:c r="P160" s="33" t="str"/>
      <x:c r="Q160" s="33" t="str"/>
      <x:c r="R160" s="33" t="str"/>
      <x:c r="S160" s="33" t="str"/>
      <x:c r="T160" s="35" t="n">
        <x:v>9.5476056</x:v>
      </x:c>
      <x:c r="U160" s="35" t="n">
        <x:v>-13.673645</x:v>
      </x:c>
      <x:c r="V160" s="33" t="str">
        <x:v>https://www.openstreetmap.org/node/5966557505</x:v>
      </x:c>
      <x:c r="W160" s="33" t="str">
        <x:v>node/5966557505</x:v>
      </x:c>
      <x:c r="X160" s="33" t="str">
        <x:v>review_required</x:v>
      </x:c>
      <x:c r="Y160" s="33" t="str">
        <x:v>papeterie cisse et fils|conakry a verifier</x:v>
      </x:c>
      <x:c r="Z160" s="33" t="str"/>
      <x:c r="AA160" s="33" t="str"/>
    </x:row>
    <x:row r="161">
      <x:c r="A161" s="30" t="str">
        <x:v>À vérifier</x:v>
      </x:c>
      <x:c r="B161" s="30" t="str"/>
      <x:c r="C161" s="31"/>
      <x:c r="D161" s="30" t="str">
        <x:v>Non vérifié</x:v>
      </x:c>
      <x:c r="E161" s="30" t="str"/>
      <x:c r="F161" s="30" t="str"/>
      <x:c r="G161" s="32" t="str"/>
      <x:c r="H161" s="33" t="str">
        <x:f>IF(I161&lt;&gt;"","Doublon possible","")</x:f>
      </x:c>
      <x:c r="I161" s="33" t="str">
        <x:f>IF(COUNTIFS($Y$9:$Y$678,Y161)&gt;1,"Nom + ville",IF(AND(Z161&lt;&gt;"",COUNTIFS($Z$9:$Z$678,Z161)&gt;1),"Téléphone",IF(AND(AA161&lt;&gt;"",COUNTIFS($AA$9:$AA$678,AA161)&gt;1),"Site web","")))</x:f>
      </x:c>
      <x:c r="J161" s="33" t="str">
        <x:v>Papy trey store</x:v>
      </x:c>
      <x:c r="K161" s="33" t="str">
        <x:v>Commerces</x:v>
      </x:c>
      <x:c r="L161" s="33" t="str">
        <x:v>Habillement</x:v>
      </x:c>
      <x:c r="M161" s="33" t="str">
        <x:v>Conakry</x:v>
      </x:c>
      <x:c r="N161" s="33" t="str"/>
      <x:c r="O161" s="33" t="str">
        <x:v>H8PR+HM Ratoma</x:v>
      </x:c>
      <x:c r="P161" s="33" t="str">
        <x:v>+224620882855</x:v>
      </x:c>
      <x:c r="Q161" s="33" t="str"/>
      <x:c r="R161" s="33" t="str"/>
      <x:c r="S161" s="33" t="str"/>
      <x:c r="T161" s="35" t="n">
        <x:v>9.5860393</x:v>
      </x:c>
      <x:c r="U161" s="35" t="n">
        <x:v>-13.658531</x:v>
      </x:c>
      <x:c r="V161" s="33" t="str">
        <x:v>https://www.openstreetmap.org/node/9297579854</x:v>
      </x:c>
      <x:c r="W161" s="33" t="str">
        <x:v>node/9297579854</x:v>
      </x:c>
      <x:c r="X161" s="33" t="str">
        <x:v>review_required</x:v>
      </x:c>
      <x:c r="Y161" s="33" t="str">
        <x:v>papy trey store|conakry</x:v>
      </x:c>
      <x:c r="Z161" s="33" t="str">
        <x:v>224620882855</x:v>
      </x:c>
      <x:c r="AA161" s="33" t="str"/>
    </x:row>
    <x:row r="162">
      <x:c r="A162" s="30" t="str">
        <x:v>À vérifier</x:v>
      </x:c>
      <x:c r="B162" s="30" t="str"/>
      <x:c r="C162" s="31"/>
      <x:c r="D162" s="30" t="str">
        <x:v>Non vérifié</x:v>
      </x:c>
      <x:c r="E162" s="30" t="str"/>
      <x:c r="F162" s="30" t="str"/>
      <x:c r="G162" s="32" t="str"/>
      <x:c r="H162" s="33" t="str">
        <x:f>IF(I162&lt;&gt;"","Doublon possible","")</x:f>
      </x:c>
      <x:c r="I162" s="33" t="str">
        <x:f>IF(COUNTIFS($Y$9:$Y$678,Y162)&gt;1,"Nom + ville",IF(AND(Z162&lt;&gt;"",COUNTIFS($Z$9:$Z$678,Z162)&gt;1),"Téléphone",IF(AND(AA162&lt;&gt;"",COUNTIFS($AA$9:$AA$678,AA162)&gt;1),"Site web","")))</x:f>
      </x:c>
      <x:c r="J162" s="33" t="str">
        <x:v>Perfect Body Cosmetiques - Conakry</x:v>
      </x:c>
      <x:c r="K162" s="33" t="str">
        <x:v>Commerces</x:v>
      </x:c>
      <x:c r="L162" s="33" t="str">
        <x:v>Boutiques</x:v>
      </x:c>
      <x:c r="M162" s="33" t="str">
        <x:v>Conakry (à vérifier)</x:v>
      </x:c>
      <x:c r="N162" s="33" t="str"/>
      <x:c r="O162" s="33" t="str">
        <x:v>Autoroute Fidel Castro</x:v>
      </x:c>
      <x:c r="P162" s="33" t="str">
        <x:v>611010121</x:v>
      </x:c>
      <x:c r="Q162" s="33" t="str">
        <x:v>perfectbodyconakry@gmail.com</x:v>
      </x:c>
      <x:c r="R162" s="33" t="str"/>
      <x:c r="S162" s="33" t="str"/>
      <x:c r="T162" s="35" t="n">
        <x:v>9.6054437</x:v>
      </x:c>
      <x:c r="U162" s="35" t="n">
        <x:v>-13.6003876</x:v>
      </x:c>
      <x:c r="V162" s="33" t="str">
        <x:v>https://www.openstreetmap.org/node/10857382705</x:v>
      </x:c>
      <x:c r="W162" s="33" t="str">
        <x:v>node/10857382705</x:v>
      </x:c>
      <x:c r="X162" s="33" t="str">
        <x:v>review_required</x:v>
      </x:c>
      <x:c r="Y162" s="33" t="str">
        <x:v>perfect body cosmetiques conakry|conakry a verifier</x:v>
      </x:c>
      <x:c r="Z162" s="33" t="str">
        <x:v>224611010121</x:v>
      </x:c>
      <x:c r="AA162" s="33" t="str"/>
    </x:row>
    <x:row r="163">
      <x:c r="A163" s="30" t="str">
        <x:v>À vérifier</x:v>
      </x:c>
      <x:c r="B163" s="30" t="str"/>
      <x:c r="C163" s="31"/>
      <x:c r="D163" s="30" t="str">
        <x:v>Non vérifié</x:v>
      </x:c>
      <x:c r="E163" s="30" t="str"/>
      <x:c r="F163" s="30" t="str"/>
      <x:c r="G163" s="32" t="str"/>
      <x:c r="H163" s="33" t="str">
        <x:f>IF(I163&lt;&gt;"","Doublon possible","")</x:f>
      </x:c>
      <x:c r="I163" s="33" t="str">
        <x:f>IF(COUNTIFS($Y$9:$Y$678,Y163)&gt;1,"Nom + ville",IF(AND(Z163&lt;&gt;"",COUNTIFS($Z$9:$Z$678,Z163)&gt;1),"Téléphone",IF(AND(AA163&lt;&gt;"",COUNTIFS($AA$9:$AA$678,AA163)&gt;1),"Site web","")))</x:f>
      </x:c>
      <x:c r="J163" s="33" t="str">
        <x:v>Prima Center</x:v>
      </x:c>
      <x:c r="K163" s="33" t="str">
        <x:v>Commerces</x:v>
      </x:c>
      <x:c r="L163" s="33" t="str">
        <x:v>Centres commerciaux</x:v>
      </x:c>
      <x:c r="M163" s="33" t="str">
        <x:v>Conakry (à vérifier)</x:v>
      </x:c>
      <x:c r="N163" s="33" t="str"/>
      <x:c r="O163" s="33" t="str"/>
      <x:c r="P163" s="33" t="str">
        <x:v>(+224) 654 00 01 11</x:v>
      </x:c>
      <x:c r="Q163" s="33" t="str">
        <x:v>info@primaconakry.com</x:v>
      </x:c>
      <x:c r="R163" s="33" t="str">
        <x:v>https://www.primaconakry.com/</x:v>
      </x:c>
      <x:c r="S163" s="33" t="str"/>
      <x:c r="T163" s="35" t="n">
        <x:v>9.6030779</x:v>
      </x:c>
      <x:c r="U163" s="35" t="n">
        <x:v>-13.6390148</x:v>
      </x:c>
      <x:c r="V163" s="33" t="str">
        <x:v>https://www.openstreetmap.org/way/558387645</x:v>
      </x:c>
      <x:c r="W163" s="33" t="str">
        <x:v>way/558387645</x:v>
      </x:c>
      <x:c r="X163" s="33" t="str">
        <x:v>review_required</x:v>
      </x:c>
      <x:c r="Y163" s="33" t="str">
        <x:v>prima center|conakry a verifier</x:v>
      </x:c>
      <x:c r="Z163" s="33" t="str">
        <x:v>224654000111</x:v>
      </x:c>
      <x:c r="AA163" s="33" t="str">
        <x:v>primaconakry.com</x:v>
      </x:c>
    </x:row>
    <x:row r="164">
      <x:c r="A164" s="30" t="str">
        <x:v>À vérifier</x:v>
      </x:c>
      <x:c r="B164" s="30" t="str"/>
      <x:c r="C164" s="31"/>
      <x:c r="D164" s="30" t="str">
        <x:v>Non vérifié</x:v>
      </x:c>
      <x:c r="E164" s="30" t="str"/>
      <x:c r="F164" s="30" t="str"/>
      <x:c r="G164" s="32" t="str"/>
      <x:c r="H164" s="33" t="str">
        <x:f>IF(I164&lt;&gt;"","Doublon possible","")</x:f>
      </x:c>
      <x:c r="I164" s="33" t="str">
        <x:f>IF(COUNTIFS($Y$9:$Y$678,Y164)&gt;1,"Nom + ville",IF(AND(Z164&lt;&gt;"",COUNTIFS($Z$9:$Z$678,Z164)&gt;1),"Téléphone",IF(AND(AA164&lt;&gt;"",COUNTIFS($AA$9:$AA$678,AA164)&gt;1),"Site web","")))</x:f>
      </x:c>
      <x:c r="J164" s="33" t="str">
        <x:v>Salon de coiffure Ibrahima Sory Sylla</x:v>
      </x:c>
      <x:c r="K164" s="33" t="str">
        <x:v>Commerces</x:v>
      </x:c>
      <x:c r="L164" s="33" t="str">
        <x:v>Boutiques</x:v>
      </x:c>
      <x:c r="M164" s="33" t="str">
        <x:v>Conakry (à vérifier)</x:v>
      </x:c>
      <x:c r="N164" s="33" t="str"/>
      <x:c r="O164" s="33" t="str"/>
      <x:c r="P164" s="33" t="str">
        <x:v>621362187</x:v>
      </x:c>
      <x:c r="Q164" s="33" t="str"/>
      <x:c r="R164" s="33" t="str"/>
      <x:c r="S164" s="33" t="str"/>
      <x:c r="T164" s="35" t="n">
        <x:v>9.6670442</x:v>
      </x:c>
      <x:c r="U164" s="35" t="n">
        <x:v>-13.5777613</x:v>
      </x:c>
      <x:c r="V164" s="33" t="str">
        <x:v>https://www.openstreetmap.org/node/6909093182</x:v>
      </x:c>
      <x:c r="W164" s="33" t="str">
        <x:v>node/6909093182</x:v>
      </x:c>
      <x:c r="X164" s="33" t="str">
        <x:v>review_required</x:v>
      </x:c>
      <x:c r="Y164" s="33" t="str">
        <x:v>salon de coiffure ibrahima sory sylla|conakry a verifier</x:v>
      </x:c>
      <x:c r="Z164" s="33" t="str">
        <x:v>224621362187</x:v>
      </x:c>
      <x:c r="AA164" s="33" t="str"/>
    </x:row>
    <x:row r="165">
      <x:c r="A165" s="30" t="str">
        <x:v>À vérifier</x:v>
      </x:c>
      <x:c r="B165" s="30" t="str"/>
      <x:c r="C165" s="31"/>
      <x:c r="D165" s="30" t="str">
        <x:v>Non vérifié</x:v>
      </x:c>
      <x:c r="E165" s="30" t="str"/>
      <x:c r="F165" s="30" t="str"/>
      <x:c r="G165" s="32" t="str"/>
      <x:c r="H165" s="33" t="str">
        <x:f>IF(I165&lt;&gt;"","Doublon possible","")</x:f>
      </x:c>
      <x:c r="I165" s="33" t="str">
        <x:f>IF(COUNTIFS($Y$9:$Y$678,Y165)&gt;1,"Nom + ville",IF(AND(Z165&lt;&gt;"",COUNTIFS($Z$9:$Z$678,Z165)&gt;1),"Téléphone",IF(AND(AA165&lt;&gt;"",COUNTIFS($AA$9:$AA$678,AA165)&gt;1),"Site web","")))</x:f>
      </x:c>
      <x:c r="J165" s="33" t="str">
        <x:v>Salon de coiffure lims</x:v>
      </x:c>
      <x:c r="K165" s="33" t="str">
        <x:v>Commerces</x:v>
      </x:c>
      <x:c r="L165" s="33" t="str">
        <x:v>Boutiques</x:v>
      </x:c>
      <x:c r="M165" s="33" t="str">
        <x:v>Conakry (à vérifier)</x:v>
      </x:c>
      <x:c r="N165" s="33" t="str"/>
      <x:c r="O165" s="33" t="str"/>
      <x:c r="P165" s="33" t="str">
        <x:v>621875301</x:v>
      </x:c>
      <x:c r="Q165" s="33" t="str"/>
      <x:c r="R165" s="33" t="str"/>
      <x:c r="S165" s="33" t="str"/>
      <x:c r="T165" s="35" t="n">
        <x:v>9.6710003</x:v>
      </x:c>
      <x:c r="U165" s="35" t="n">
        <x:v>-13.5816729</x:v>
      </x:c>
      <x:c r="V165" s="33" t="str">
        <x:v>https://www.openstreetmap.org/node/8429270366</x:v>
      </x:c>
      <x:c r="W165" s="33" t="str">
        <x:v>node/8429270366</x:v>
      </x:c>
      <x:c r="X165" s="33" t="str">
        <x:v>review_required</x:v>
      </x:c>
      <x:c r="Y165" s="33" t="str">
        <x:v>salon de coiffure lims|conakry a verifier</x:v>
      </x:c>
      <x:c r="Z165" s="33" t="str">
        <x:v>224621875301</x:v>
      </x:c>
      <x:c r="AA165" s="33" t="str"/>
    </x:row>
    <x:row r="166">
      <x:c r="A166" s="30" t="str">
        <x:v>À vérifier</x:v>
      </x:c>
      <x:c r="B166" s="30" t="str"/>
      <x:c r="C166" s="31"/>
      <x:c r="D166" s="30" t="str">
        <x:v>Non vérifié</x:v>
      </x:c>
      <x:c r="E166" s="30" t="str"/>
      <x:c r="F166" s="30" t="str"/>
      <x:c r="G166" s="32" t="str"/>
      <x:c r="H166" s="33" t="str">
        <x:f>IF(I166&lt;&gt;"","Doublon possible","")</x:f>
      </x:c>
      <x:c r="I166" s="33" t="str">
        <x:f>IF(COUNTIFS($Y$9:$Y$678,Y166)&gt;1,"Nom + ville",IF(AND(Z166&lt;&gt;"",COUNTIFS($Z$9:$Z$678,Z166)&gt;1),"Téléphone",IF(AND(AA166&lt;&gt;"",COUNTIFS($AA$9:$AA$678,AA166)&gt;1),"Site web","")))</x:f>
      </x:c>
      <x:c r="J166" s="33" t="str">
        <x:v>Salon de Coiffure Louis Figo</x:v>
      </x:c>
      <x:c r="K166" s="33" t="str">
        <x:v>Commerces</x:v>
      </x:c>
      <x:c r="L166" s="33" t="str">
        <x:v>Boutiques</x:v>
      </x:c>
      <x:c r="M166" s="33" t="str">
        <x:v>Conakry (à vérifier)</x:v>
      </x:c>
      <x:c r="N166" s="33" t="str"/>
      <x:c r="O166" s="33" t="str">
        <x:v>Africof</x:v>
      </x:c>
      <x:c r="P166" s="33" t="str"/>
      <x:c r="Q166" s="33" t="str"/>
      <x:c r="R166" s="33" t="str"/>
      <x:c r="S166" s="33" t="str"/>
      <x:c r="T166" s="35" t="n">
        <x:v>9.6324333</x:v>
      </x:c>
      <x:c r="U166" s="35" t="n">
        <x:v>-13.5761149</x:v>
      </x:c>
      <x:c r="V166" s="33" t="str">
        <x:v>https://www.openstreetmap.org/node/6085384000</x:v>
      </x:c>
      <x:c r="W166" s="33" t="str">
        <x:v>node/6085384000</x:v>
      </x:c>
      <x:c r="X166" s="33" t="str">
        <x:v>review_required</x:v>
      </x:c>
      <x:c r="Y166" s="33" t="str">
        <x:v>salon de coiffure louis figo|conakry a verifier</x:v>
      </x:c>
      <x:c r="Z166" s="33" t="str"/>
      <x:c r="AA166" s="33" t="str"/>
    </x:row>
    <x:row r="167">
      <x:c r="A167" s="30" t="str">
        <x:v>À vérifier</x:v>
      </x:c>
      <x:c r="B167" s="30" t="str"/>
      <x:c r="C167" s="31"/>
      <x:c r="D167" s="30" t="str">
        <x:v>Non vérifié</x:v>
      </x:c>
      <x:c r="E167" s="30" t="str"/>
      <x:c r="F167" s="30" t="str"/>
      <x:c r="G167" s="32" t="str"/>
      <x:c r="H167" s="33" t="str">
        <x:f>IF(I167&lt;&gt;"","Doublon possible","")</x:f>
      </x:c>
      <x:c r="I167" s="33" t="str">
        <x:f>IF(COUNTIFS($Y$9:$Y$678,Y167)&gt;1,"Nom + ville",IF(AND(Z167&lt;&gt;"",COUNTIFS($Z$9:$Z$678,Z167)&gt;1),"Téléphone",IF(AND(AA167&lt;&gt;"",COUNTIFS($AA$9:$AA$678,AA167)&gt;1),"Site web","")))</x:f>
      </x:c>
      <x:c r="J167" s="33" t="str">
        <x:v>Salon de Coiffure mes Jumeaux</x:v>
      </x:c>
      <x:c r="K167" s="33" t="str">
        <x:v>Commerces</x:v>
      </x:c>
      <x:c r="L167" s="33" t="str">
        <x:v>Boutiques</x:v>
      </x:c>
      <x:c r="M167" s="33" t="str">
        <x:v>Conakry (à vérifier)</x:v>
      </x:c>
      <x:c r="N167" s="33" t="str"/>
      <x:c r="O167" s="33" t="str"/>
      <x:c r="P167" s="33" t="str">
        <x:v>+224662695220</x:v>
      </x:c>
      <x:c r="Q167" s="33" t="str"/>
      <x:c r="R167" s="33" t="str"/>
      <x:c r="S167" s="33" t="str"/>
      <x:c r="T167" s="35" t="n">
        <x:v>9.6307633</x:v>
      </x:c>
      <x:c r="U167" s="35" t="n">
        <x:v>-13.5747273</x:v>
      </x:c>
      <x:c r="V167" s="33" t="str">
        <x:v>https://www.openstreetmap.org/node/6072814314</x:v>
      </x:c>
      <x:c r="W167" s="33" t="str">
        <x:v>node/6072814314</x:v>
      </x:c>
      <x:c r="X167" s="33" t="str">
        <x:v>review_required</x:v>
      </x:c>
      <x:c r="Y167" s="33" t="str">
        <x:v>salon de coiffure mes jumeaux|conakry a verifier</x:v>
      </x:c>
      <x:c r="Z167" s="33" t="str">
        <x:v>224662695220</x:v>
      </x:c>
      <x:c r="AA167" s="33" t="str"/>
    </x:row>
    <x:row r="168">
      <x:c r="A168" s="30" t="str">
        <x:v>À vérifier</x:v>
      </x:c>
      <x:c r="B168" s="30" t="str"/>
      <x:c r="C168" s="31"/>
      <x:c r="D168" s="30" t="str">
        <x:v>Non vérifié</x:v>
      </x:c>
      <x:c r="E168" s="30" t="str"/>
      <x:c r="F168" s="30" t="str"/>
      <x:c r="G168" s="32" t="str"/>
      <x:c r="H168" s="33" t="str">
        <x:f>IF(I168&lt;&gt;"","Doublon possible","")</x:f>
      </x:c>
      <x:c r="I168" s="33" t="str">
        <x:f>IF(COUNTIFS($Y$9:$Y$678,Y168)&gt;1,"Nom + ville",IF(AND(Z168&lt;&gt;"",COUNTIFS($Z$9:$Z$678,Z168)&gt;1),"Téléphone",IF(AND(AA168&lt;&gt;"",COUNTIFS($AA$9:$AA$678,AA168)&gt;1),"Site web","")))</x:f>
      </x:c>
      <x:c r="J168" s="33" t="str">
        <x:v>Salon de Coiffure Mimi</x:v>
      </x:c>
      <x:c r="K168" s="33" t="str">
        <x:v>Commerces</x:v>
      </x:c>
      <x:c r="L168" s="33" t="str">
        <x:v>Boutiques</x:v>
      </x:c>
      <x:c r="M168" s="33" t="str">
        <x:v>Conakry (à vérifier)</x:v>
      </x:c>
      <x:c r="N168" s="33" t="str"/>
      <x:c r="O168" s="33" t="str"/>
      <x:c r="P168" s="33" t="str">
        <x:v>620585080 / 664243429</x:v>
      </x:c>
      <x:c r="Q168" s="33" t="str"/>
      <x:c r="R168" s="33" t="str"/>
      <x:c r="S168" s="33" t="str"/>
      <x:c r="T168" s="35" t="n">
        <x:v>9.6706743</x:v>
      </x:c>
      <x:c r="U168" s="35" t="n">
        <x:v>-13.5813299</x:v>
      </x:c>
      <x:c r="V168" s="33" t="str">
        <x:v>https://www.openstreetmap.org/node/6899785802</x:v>
      </x:c>
      <x:c r="W168" s="33" t="str">
        <x:v>node/6899785802</x:v>
      </x:c>
      <x:c r="X168" s="33" t="str">
        <x:v>review_required</x:v>
      </x:c>
      <x:c r="Y168" s="33" t="str">
        <x:v>salon de coiffure mimi|conakry a verifier</x:v>
      </x:c>
      <x:c r="Z168" s="33" t="str">
        <x:v>620585080664243429</x:v>
      </x:c>
      <x:c r="AA168" s="33" t="str"/>
    </x:row>
    <x:row r="169">
      <x:c r="A169" s="30" t="str">
        <x:v>À vérifier</x:v>
      </x:c>
      <x:c r="B169" s="30" t="str"/>
      <x:c r="C169" s="31"/>
      <x:c r="D169" s="30" t="str">
        <x:v>Non vérifié</x:v>
      </x:c>
      <x:c r="E169" s="30" t="str"/>
      <x:c r="F169" s="30" t="str"/>
      <x:c r="G169" s="32" t="str"/>
      <x:c r="H169" s="33" t="str">
        <x:f>IF(I169&lt;&gt;"","Doublon possible","")</x:f>
      </x:c>
      <x:c r="I169" s="33" t="str">
        <x:f>IF(COUNTIFS($Y$9:$Y$678,Y169)&gt;1,"Nom + ville",IF(AND(Z169&lt;&gt;"",COUNTIFS($Z$9:$Z$678,Z169)&gt;1),"Téléphone",IF(AND(AA169&lt;&gt;"",COUNTIFS($AA$9:$AA$678,AA169)&gt;1),"Site web","")))</x:f>
      </x:c>
      <x:c r="J169" s="33" t="str">
        <x:v>Tamaraj Boutique</x:v>
      </x:c>
      <x:c r="K169" s="33" t="str">
        <x:v>Commerces</x:v>
      </x:c>
      <x:c r="L169" s="33" t="str">
        <x:v>Supermarchés</x:v>
      </x:c>
      <x:c r="M169" s="33" t="str">
        <x:v>Conakry</x:v>
      </x:c>
      <x:c r="N169" s="33" t="str"/>
      <x:c r="O169" s="33" t="str">
        <x:v>7thAve</x:v>
      </x:c>
      <x:c r="P169" s="33" t="str">
        <x:v>+224621319292</x:v>
      </x:c>
      <x:c r="Q169" s="33" t="str"/>
      <x:c r="R169" s="33" t="str"/>
      <x:c r="S169" s="33" t="str"/>
      <x:c r="T169" s="35" t="n">
        <x:v>9.5103949</x:v>
      </x:c>
      <x:c r="U169" s="35" t="n">
        <x:v>-13.7126334</x:v>
      </x:c>
      <x:c r="V169" s="33" t="str">
        <x:v>https://www.openstreetmap.org/node/13397748188</x:v>
      </x:c>
      <x:c r="W169" s="33" t="str">
        <x:v>node/13397748188</x:v>
      </x:c>
      <x:c r="X169" s="33" t="str">
        <x:v>review_required</x:v>
      </x:c>
      <x:c r="Y169" s="33" t="str">
        <x:v>tamaraj boutique|conakry</x:v>
      </x:c>
      <x:c r="Z169" s="33" t="str">
        <x:v>224621319292</x:v>
      </x:c>
      <x:c r="AA169" s="33" t="str"/>
    </x:row>
    <x:row r="170">
      <x:c r="A170" s="30" t="str">
        <x:v>À vérifier</x:v>
      </x:c>
      <x:c r="B170" s="30" t="str"/>
      <x:c r="C170" s="31"/>
      <x:c r="D170" s="30" t="str">
        <x:v>Non vérifié</x:v>
      </x:c>
      <x:c r="E170" s="30" t="str"/>
      <x:c r="F170" s="30" t="str"/>
      <x:c r="G170" s="32" t="str"/>
      <x:c r="H170" s="33" t="str">
        <x:f>IF(I170&lt;&gt;"","Doublon possible","")</x:f>
      </x:c>
      <x:c r="I170" s="33" t="str">
        <x:f>IF(COUNTIFS($Y$9:$Y$678,Y170)&gt;1,"Nom + ville",IF(AND(Z170&lt;&gt;"",COUNTIFS($Z$9:$Z$678,Z170)&gt;1),"Téléphone",IF(AND(AA170&lt;&gt;"",COUNTIFS($AA$9:$AA$678,AA170)&gt;1),"Site web","")))</x:f>
      </x:c>
      <x:c r="J170" s="33" t="str">
        <x:v>Top Diamon Coiffure</x:v>
      </x:c>
      <x:c r="K170" s="33" t="str">
        <x:v>Commerces</x:v>
      </x:c>
      <x:c r="L170" s="33" t="str">
        <x:v>Boutiques</x:v>
      </x:c>
      <x:c r="M170" s="33" t="str">
        <x:v>Conakry (à vérifier)</x:v>
      </x:c>
      <x:c r="N170" s="33" t="str"/>
      <x:c r="O170" s="33" t="str"/>
      <x:c r="P170" s="33" t="str">
        <x:v>+224622687948</x:v>
      </x:c>
      <x:c r="Q170" s="33" t="str"/>
      <x:c r="R170" s="33" t="str"/>
      <x:c r="S170" s="33" t="str"/>
      <x:c r="T170" s="35" t="n">
        <x:v>9.6038414</x:v>
      </x:c>
      <x:c r="U170" s="35" t="n">
        <x:v>-13.6421007</x:v>
      </x:c>
      <x:c r="V170" s="33" t="str">
        <x:v>https://www.openstreetmap.org/node/6451797947</x:v>
      </x:c>
      <x:c r="W170" s="33" t="str">
        <x:v>node/6451797947</x:v>
      </x:c>
      <x:c r="X170" s="33" t="str">
        <x:v>review_required</x:v>
      </x:c>
      <x:c r="Y170" s="33" t="str">
        <x:v>top diamon coiffure|conakry a verifier</x:v>
      </x:c>
      <x:c r="Z170" s="33" t="str">
        <x:v>224622687948</x:v>
      </x:c>
      <x:c r="AA170" s="33" t="str"/>
    </x:row>
    <x:row r="171">
      <x:c r="A171" s="30" t="str">
        <x:v>À vérifier</x:v>
      </x:c>
      <x:c r="B171" s="30" t="str"/>
      <x:c r="C171" s="31"/>
      <x:c r="D171" s="30" t="str">
        <x:v>Non vérifié</x:v>
      </x:c>
      <x:c r="E171" s="30" t="str"/>
      <x:c r="F171" s="30" t="str"/>
      <x:c r="G171" s="32" t="str"/>
      <x:c r="H171" s="33" t="str">
        <x:f>IF(I171&lt;&gt;"","Doublon possible","")</x:f>
      </x:c>
      <x:c r="I171" s="33" t="str">
        <x:f>IF(COUNTIFS($Y$9:$Y$678,Y171)&gt;1,"Nom + ville",IF(AND(Z171&lt;&gt;"",COUNTIFS($Z$9:$Z$678,Z171)&gt;1),"Téléphone",IF(AND(AA171&lt;&gt;"",COUNTIFS($AA$9:$AA$678,AA171)&gt;1),"Site web","")))</x:f>
      </x:c>
      <x:c r="J171" s="33" t="str">
        <x:v>Touba couture</x:v>
      </x:c>
      <x:c r="K171" s="33" t="str">
        <x:v>Commerces</x:v>
      </x:c>
      <x:c r="L171" s="33" t="str">
        <x:v>Boutiques</x:v>
      </x:c>
      <x:c r="M171" s="33" t="str">
        <x:v>Conakry (à vérifier)</x:v>
      </x:c>
      <x:c r="N171" s="33" t="str"/>
      <x:c r="O171" s="33" t="str"/>
      <x:c r="P171" s="33" t="str">
        <x:v>00224624351135</x:v>
      </x:c>
      <x:c r="Q171" s="33" t="str"/>
      <x:c r="R171" s="33" t="str"/>
      <x:c r="S171" s="33" t="str"/>
      <x:c r="T171" s="35" t="n">
        <x:v>9.5504558</x:v>
      </x:c>
      <x:c r="U171" s="35" t="n">
        <x:v>-13.6734295</x:v>
      </x:c>
      <x:c r="V171" s="33" t="str">
        <x:v>https://www.openstreetmap.org/node/5966779402</x:v>
      </x:c>
      <x:c r="W171" s="33" t="str">
        <x:v>node/5966779402</x:v>
      </x:c>
      <x:c r="X171" s="33" t="str">
        <x:v>review_required</x:v>
      </x:c>
      <x:c r="Y171" s="33" t="str">
        <x:v>touba couture|conakry a verifier</x:v>
      </x:c>
      <x:c r="Z171" s="33" t="str">
        <x:v>224624351135</x:v>
      </x:c>
      <x:c r="AA171" s="33" t="str"/>
    </x:row>
    <x:row r="172">
      <x:c r="A172" s="30" t="str">
        <x:v>À vérifier</x:v>
      </x:c>
      <x:c r="B172" s="30" t="str"/>
      <x:c r="C172" s="31"/>
      <x:c r="D172" s="30" t="str">
        <x:v>Non vérifié</x:v>
      </x:c>
      <x:c r="E172" s="30" t="str"/>
      <x:c r="F172" s="30" t="str"/>
      <x:c r="G172" s="32" t="str"/>
      <x:c r="H172" s="33" t="str">
        <x:f>IF(I172&lt;&gt;"","Doublon possible","")</x:f>
      </x:c>
      <x:c r="I172" s="33" t="str">
        <x:f>IF(COUNTIFS($Y$9:$Y$678,Y172)&gt;1,"Nom + ville",IF(AND(Z172&lt;&gt;"",COUNTIFS($Z$9:$Z$678,Z172)&gt;1),"Téléphone",IF(AND(AA172&lt;&gt;"",COUNTIFS($AA$9:$AA$678,AA172)&gt;1),"Site web","")))</x:f>
      </x:c>
      <x:c r="J172" s="33" t="str">
        <x:v>Vente de jus</x:v>
      </x:c>
      <x:c r="K172" s="33" t="str">
        <x:v>Commerces</x:v>
      </x:c>
      <x:c r="L172" s="33" t="str">
        <x:v>Boutiques</x:v>
      </x:c>
      <x:c r="M172" s="33" t="str">
        <x:v>Conakry (à vérifier)</x:v>
      </x:c>
      <x:c r="N172" s="33" t="str"/>
      <x:c r="O172" s="33" t="str">
        <x:v>B1</x:v>
      </x:c>
      <x:c r="P172" s="33" t="str"/>
      <x:c r="Q172" s="33" t="str"/>
      <x:c r="R172" s="33" t="str"/>
      <x:c r="S172" s="33" t="str"/>
      <x:c r="T172" s="35" t="n">
        <x:v>9.5480573</x:v>
      </x:c>
      <x:c r="U172" s="35" t="n">
        <x:v>-13.6738083</x:v>
      </x:c>
      <x:c r="V172" s="33" t="str">
        <x:v>https://www.openstreetmap.org/node/5966756332</x:v>
      </x:c>
      <x:c r="W172" s="33" t="str">
        <x:v>node/5966756332</x:v>
      </x:c>
      <x:c r="X172" s="33" t="str">
        <x:v>review_required</x:v>
      </x:c>
      <x:c r="Y172" s="33" t="str">
        <x:v>vente de jus|conakry a verifier</x:v>
      </x:c>
      <x:c r="Z172" s="33" t="str"/>
      <x:c r="AA172" s="33" t="str"/>
    </x:row>
    <x:row r="173">
      <x:c r="A173" s="30" t="str">
        <x:v>À vérifier</x:v>
      </x:c>
      <x:c r="B173" s="30" t="str"/>
      <x:c r="C173" s="31"/>
      <x:c r="D173" s="30" t="str">
        <x:v>Non vérifié</x:v>
      </x:c>
      <x:c r="E173" s="30" t="str"/>
      <x:c r="F173" s="30" t="str"/>
      <x:c r="G173" s="32" t="str"/>
      <x:c r="H173" s="33" t="str">
        <x:f>IF(I173&lt;&gt;"","Doublon possible","")</x:f>
      </x:c>
      <x:c r="I173" s="33" t="str">
        <x:f>IF(COUNTIFS($Y$9:$Y$678,Y173)&gt;1,"Nom + ville",IF(AND(Z173&lt;&gt;"",COUNTIFS($Z$9:$Z$678,Z173)&gt;1),"Téléphone",IF(AND(AA173&lt;&gt;"",COUNTIFS($AA$9:$AA$678,AA173)&gt;1),"Site web","")))</x:f>
      </x:c>
      <x:c r="J173" s="33" t="str">
        <x:v>Vente électroménager matériel de rebobinage</x:v>
      </x:c>
      <x:c r="K173" s="33" t="str">
        <x:v>Commerces</x:v>
      </x:c>
      <x:c r="L173" s="33" t="str">
        <x:v>Boutiques</x:v>
      </x:c>
      <x:c r="M173" s="33" t="str">
        <x:v>Conakry (à vérifier)</x:v>
      </x:c>
      <x:c r="N173" s="33" t="str"/>
      <x:c r="O173" s="33" t="str">
        <x:v>A3</x:v>
      </x:c>
      <x:c r="P173" s="33" t="str"/>
      <x:c r="Q173" s="33" t="str"/>
      <x:c r="R173" s="33" t="str"/>
      <x:c r="S173" s="33" t="str"/>
      <x:c r="T173" s="35" t="n">
        <x:v>9.5479649</x:v>
      </x:c>
      <x:c r="U173" s="35" t="n">
        <x:v>-13.6736719</x:v>
      </x:c>
      <x:c r="V173" s="33" t="str">
        <x:v>https://www.openstreetmap.org/node/5966756327</x:v>
      </x:c>
      <x:c r="W173" s="33" t="str">
        <x:v>node/5966756327</x:v>
      </x:c>
      <x:c r="X173" s="33" t="str">
        <x:v>review_required</x:v>
      </x:c>
      <x:c r="Y173" s="33" t="str">
        <x:v>vente electromenager materiel de rebobinage|conakry a verifier</x:v>
      </x:c>
      <x:c r="Z173" s="33" t="str"/>
      <x:c r="AA173" s="33" t="str"/>
    </x:row>
    <x:row r="174">
      <x:c r="A174" s="30" t="str">
        <x:v>À vérifier</x:v>
      </x:c>
      <x:c r="B174" s="30" t="str"/>
      <x:c r="C174" s="31"/>
      <x:c r="D174" s="30" t="str">
        <x:v>Non vérifié</x:v>
      </x:c>
      <x:c r="E174" s="30" t="str"/>
      <x:c r="F174" s="30" t="str"/>
      <x:c r="G174" s="32" t="str"/>
      <x:c r="H174" s="33" t="str">
        <x:f>IF(I174&lt;&gt;"","Doublon possible","")</x:f>
      </x:c>
      <x:c r="I174" s="33" t="str">
        <x:f>IF(COUNTIFS($Y$9:$Y$678,Y174)&gt;1,"Nom + ville",IF(AND(Z174&lt;&gt;"",COUNTIFS($Z$9:$Z$678,Z174)&gt;1),"Téléphone",IF(AND(AA174&lt;&gt;"",COUNTIFS($AA$9:$AA$678,AA174)&gt;1),"Site web","")))</x:f>
      </x:c>
      <x:c r="J174" s="33" t="str">
        <x:v>Yunus Holding</x:v>
      </x:c>
      <x:c r="K174" s="33" t="str">
        <x:v>Commerces</x:v>
      </x:c>
      <x:c r="L174" s="33" t="str">
        <x:v>Électronique</x:v>
      </x:c>
      <x:c r="M174" s="33" t="str">
        <x:v>Conakry (à vérifier)</x:v>
      </x:c>
      <x:c r="N174" s="33" t="str"/>
      <x:c r="O174" s="33" t="str">
        <x:v>Transversal 2</x:v>
      </x:c>
      <x:c r="P174" s="33" t="str"/>
      <x:c r="Q174" s="33" t="str">
        <x:v>contact@yunuholding.com</x:v>
      </x:c>
      <x:c r="R174" s="33" t="str">
        <x:v>http://www.yunusholging.com</x:v>
      </x:c>
      <x:c r="S174" s="33" t="str"/>
      <x:c r="T174" s="35" t="n">
        <x:v>9.6057935</x:v>
      </x:c>
      <x:c r="U174" s="35" t="n">
        <x:v>-13.6475491</x:v>
      </x:c>
      <x:c r="V174" s="33" t="str">
        <x:v>https://www.openstreetmap.org/node/9552063817</x:v>
      </x:c>
      <x:c r="W174" s="33" t="str">
        <x:v>node/9552063817</x:v>
      </x:c>
      <x:c r="X174" s="33" t="str">
        <x:v>review_required</x:v>
      </x:c>
      <x:c r="Y174" s="33" t="str">
        <x:v>yunus holding|conakry a verifier</x:v>
      </x:c>
      <x:c r="Z174" s="33" t="str"/>
      <x:c r="AA174" s="33" t="str">
        <x:v>yunusholging.com</x:v>
      </x:c>
    </x:row>
    <x:row r="175">
      <x:c r="A175" s="30" t="str">
        <x:v>À vérifier</x:v>
      </x:c>
      <x:c r="B175" s="30" t="str"/>
      <x:c r="C175" s="31"/>
      <x:c r="D175" s="30" t="str">
        <x:v>Non vérifié</x:v>
      </x:c>
      <x:c r="E175" s="30" t="str"/>
      <x:c r="F175" s="30" t="str"/>
      <x:c r="G175" s="32" t="str"/>
      <x:c r="H175" s="33" t="str">
        <x:f>IF(I175&lt;&gt;"","Doublon possible","")</x:f>
      </x:c>
      <x:c r="I175" s="33" t="str">
        <x:f>IF(COUNTIFS($Y$9:$Y$678,Y175)&gt;1,"Nom + ville",IF(AND(Z175&lt;&gt;"",COUNTIFS($Z$9:$Z$678,Z175)&gt;1),"Téléphone",IF(AND(AA175&lt;&gt;"",COUNTIFS($AA$9:$AA$678,AA175)&gt;1),"Site web","")))</x:f>
      </x:c>
      <x:c r="J175" s="33" t="str">
        <x:v>Église Ste Rita de Sangoyah</x:v>
      </x:c>
      <x:c r="K175" s="33" t="str">
        <x:v>Commerces</x:v>
      </x:c>
      <x:c r="L175" s="33" t="str">
        <x:v>Boutiques</x:v>
      </x:c>
      <x:c r="M175" s="33" t="str">
        <x:v>Conakry (à vérifier)</x:v>
      </x:c>
      <x:c r="N175" s="33" t="str"/>
      <x:c r="O175" s="33" t="str">
        <x:v>Rue Mo. 668, Matoto</x:v>
      </x:c>
      <x:c r="P175" s="33" t="str"/>
      <x:c r="Q175" s="33" t="str"/>
      <x:c r="R175" s="33" t="str"/>
      <x:c r="S175" s="33" t="str"/>
      <x:c r="T175" s="35" t="n">
        <x:v>9.6198682</x:v>
      </x:c>
      <x:c r="U175" s="35" t="n">
        <x:v>-13.5824164</x:v>
      </x:c>
      <x:c r="V175" s="33" t="str">
        <x:v>https://www.openstreetmap.org/node/6085385640</x:v>
      </x:c>
      <x:c r="W175" s="33" t="str">
        <x:v>node/6085385640</x:v>
      </x:c>
      <x:c r="X175" s="33" t="str">
        <x:v>review_required</x:v>
      </x:c>
      <x:c r="Y175" s="33" t="str">
        <x:v>eglise ste rita de sangoyah|conakry a verifier</x:v>
      </x:c>
      <x:c r="Z175" s="33" t="str"/>
      <x:c r="AA175" s="33" t="str"/>
    </x:row>
    <x:row r="176">
      <x:c r="A176" s="30" t="str">
        <x:v>À vérifier</x:v>
      </x:c>
      <x:c r="B176" s="30" t="str"/>
      <x:c r="C176" s="31"/>
      <x:c r="D176" s="30" t="str">
        <x:v>Non vérifié</x:v>
      </x:c>
      <x:c r="E176" s="30" t="str"/>
      <x:c r="F176" s="30" t="str"/>
      <x:c r="G176" s="32" t="str"/>
      <x:c r="H176" s="33" t="str">
        <x:f>IF(I176&lt;&gt;"","Doublon possible","")</x:f>
      </x:c>
      <x:c r="I176" s="33" t="str">
        <x:f>IF(COUNTIFS($Y$9:$Y$678,Y176)&gt;1,"Nom + ville",IF(AND(Z176&lt;&gt;"",COUNTIFS($Z$9:$Z$678,Z176)&gt;1),"Téléphone",IF(AND(AA176&lt;&gt;"",COUNTIFS($AA$9:$AA$678,AA176)&gt;1),"Site web","")))</x:f>
      </x:c>
      <x:c r="J176" s="33" t="str">
        <x:v>Élégance Dior</x:v>
      </x:c>
      <x:c r="K176" s="33" t="str">
        <x:v>Commerces</x:v>
      </x:c>
      <x:c r="L176" s="33" t="str">
        <x:v>Habillement</x:v>
      </x:c>
      <x:c r="M176" s="33" t="str">
        <x:v>Conakry (à vérifier)</x:v>
      </x:c>
      <x:c r="N176" s="33" t="str"/>
      <x:c r="O176" s="33" t="str"/>
      <x:c r="P176" s="33" t="str">
        <x:v>+224662636573</x:v>
      </x:c>
      <x:c r="Q176" s="33" t="str"/>
      <x:c r="R176" s="33" t="str"/>
      <x:c r="S176" s="33" t="str"/>
      <x:c r="T176" s="35" t="n">
        <x:v>9.598826</x:v>
      </x:c>
      <x:c r="U176" s="35" t="n">
        <x:v>-13.6032152</x:v>
      </x:c>
      <x:c r="V176" s="33" t="str">
        <x:v>https://www.openstreetmap.org/node/5827938752</x:v>
      </x:c>
      <x:c r="W176" s="33" t="str">
        <x:v>node/5827938752</x:v>
      </x:c>
      <x:c r="X176" s="33" t="str">
        <x:v>review_required</x:v>
      </x:c>
      <x:c r="Y176" s="33" t="str">
        <x:v>elegance dior|conakry a verifier</x:v>
      </x:c>
      <x:c r="Z176" s="33" t="str">
        <x:v>224662636573</x:v>
      </x:c>
      <x:c r="AA176" s="33" t="str"/>
    </x:row>
    <x:row r="177">
      <x:c r="A177" s="30" t="str">
        <x:v>À vérifier</x:v>
      </x:c>
      <x:c r="B177" s="30" t="str"/>
      <x:c r="C177" s="31"/>
      <x:c r="D177" s="30" t="str">
        <x:v>Non vérifié</x:v>
      </x:c>
      <x:c r="E177" s="30" t="str"/>
      <x:c r="F177" s="30" t="str"/>
      <x:c r="G177" s="32" t="str"/>
      <x:c r="H177" s="33" t="str">
        <x:f>IF(I177&lt;&gt;"","Doublon possible","")</x:f>
      </x:c>
      <x:c r="I177" s="33" t="str">
        <x:f>IF(COUNTIFS($Y$9:$Y$678,Y177)&gt;1,"Nom + ville",IF(AND(Z177&lt;&gt;"",COUNTIFS($Z$9:$Z$678,Z177)&gt;1),"Téléphone",IF(AND(AA177&lt;&gt;"",COUNTIFS($AA$9:$AA$678,AA177)&gt;1),"Site web","")))</x:f>
      </x:c>
      <x:c r="J177" s="33" t="str">
        <x:v>Étalagiste</x:v>
      </x:c>
      <x:c r="K177" s="33" t="str">
        <x:v>Commerces</x:v>
      </x:c>
      <x:c r="L177" s="33" t="str">
        <x:v>Boutiques</x:v>
      </x:c>
      <x:c r="M177" s="33" t="str">
        <x:v>Conakry (à vérifier)</x:v>
      </x:c>
      <x:c r="N177" s="33" t="str"/>
      <x:c r="O177" s="33" t="str"/>
      <x:c r="P177" s="33" t="str">
        <x:v>666535479</x:v>
      </x:c>
      <x:c r="Q177" s="33" t="str"/>
      <x:c r="R177" s="33" t="str"/>
      <x:c r="S177" s="33" t="str"/>
      <x:c r="T177" s="35" t="n">
        <x:v>9.566308</x:v>
      </x:c>
      <x:c r="U177" s="35" t="n">
        <x:v>-13.6620571</x:v>
      </x:c>
      <x:c r="V177" s="33" t="str">
        <x:v>https://www.openstreetmap.org/node/8398728969</x:v>
      </x:c>
      <x:c r="W177" s="33" t="str">
        <x:v>node/8398728969</x:v>
      </x:c>
      <x:c r="X177" s="33" t="str">
        <x:v>review_required</x:v>
      </x:c>
      <x:c r="Y177" s="33" t="str">
        <x:v>etalagiste|conakry a verifier</x:v>
      </x:c>
      <x:c r="Z177" s="33" t="str">
        <x:v>224666535479</x:v>
      </x:c>
      <x:c r="AA177" s="33" t="str"/>
    </x:row>
    <x:row r="178">
      <x:c r="A178" s="30" t="str">
        <x:v>À vérifier</x:v>
      </x:c>
      <x:c r="B178" s="30" t="str"/>
      <x:c r="C178" s="31"/>
      <x:c r="D178" s="30" t="str">
        <x:v>Non vérifié</x:v>
      </x:c>
      <x:c r="E178" s="30" t="str"/>
      <x:c r="F178" s="30" t="str"/>
      <x:c r="G178" s="32" t="str"/>
      <x:c r="H178" s="33" t="str">
        <x:f>IF(I178&lt;&gt;"","Doublon possible","")</x:f>
      </x:c>
      <x:c r="I178" s="33" t="str">
        <x:f>IF(COUNTIFS($Y$9:$Y$678,Y178)&gt;1,"Nom + ville",IF(AND(Z178&lt;&gt;"",COUNTIFS($Z$9:$Z$678,Z178)&gt;1),"Téléphone",IF(AND(AA178&lt;&gt;"",COUNTIFS($AA$9:$AA$678,AA178)&gt;1),"Site web","")))</x:f>
      </x:c>
      <x:c r="J178" s="33" t="str">
        <x:v>224 Lounge</x:v>
      </x:c>
      <x:c r="K178" s="33" t="str">
        <x:v>Divertissement / Entertainment</x:v>
      </x:c>
      <x:c r="L178" s="33" t="str">
        <x:v>Discothèques et clubs</x:v>
      </x:c>
      <x:c r="M178" s="33" t="str">
        <x:v>Conakry (à vérifier)</x:v>
      </x:c>
      <x:c r="N178" s="33" t="str"/>
      <x:c r="O178" s="33" t="str"/>
      <x:c r="P178" s="33" t="str">
        <x:v>622887212</x:v>
      </x:c>
      <x:c r="Q178" s="33" t="str"/>
      <x:c r="R178" s="33" t="str"/>
      <x:c r="S178" s="33" t="str"/>
      <x:c r="T178" s="35" t="n">
        <x:v>9.6406863</x:v>
      </x:c>
      <x:c r="U178" s="35" t="n">
        <x:v>-13.6184834</x:v>
      </x:c>
      <x:c r="V178" s="33" t="str">
        <x:v>https://www.openstreetmap.org/way/779954786</x:v>
      </x:c>
      <x:c r="W178" s="33" t="str">
        <x:v>way/779954786</x:v>
      </x:c>
      <x:c r="X178" s="33" t="str">
        <x:v>review_required</x:v>
      </x:c>
      <x:c r="Y178" s="33" t="str">
        <x:v>224 lounge|conakry a verifier</x:v>
      </x:c>
      <x:c r="Z178" s="33" t="str">
        <x:v>224622887212</x:v>
      </x:c>
      <x:c r="AA178" s="33" t="str"/>
    </x:row>
    <x:row r="179">
      <x:c r="A179" s="30" t="str">
        <x:v>À vérifier</x:v>
      </x:c>
      <x:c r="B179" s="30" t="str"/>
      <x:c r="C179" s="31"/>
      <x:c r="D179" s="30" t="str">
        <x:v>Non vérifié</x:v>
      </x:c>
      <x:c r="E179" s="30" t="str"/>
      <x:c r="F179" s="30" t="str"/>
      <x:c r="G179" s="32" t="str"/>
      <x:c r="H179" s="33" t="str">
        <x:f>IF(I179&lt;&gt;"","Doublon possible","")</x:f>
      </x:c>
      <x:c r="I179" s="33" t="str">
        <x:f>IF(COUNTIFS($Y$9:$Y$678,Y179)&gt;1,"Nom + ville",IF(AND(Z179&lt;&gt;"",COUNTIFS($Z$9:$Z$678,Z179)&gt;1),"Téléphone",IF(AND(AA179&lt;&gt;"",COUNTIFS($AA$9:$AA$678,AA179)&gt;1),"Site web","")))</x:f>
      </x:c>
      <x:c r="J179" s="33" t="str">
        <x:v>Bal poussière</x:v>
      </x:c>
      <x:c r="K179" s="33" t="str">
        <x:v>Divertissement / Entertainment</x:v>
      </x:c>
      <x:c r="L179" s="33" t="str">
        <x:v>Bars et lounges</x:v>
      </x:c>
      <x:c r="M179" s="33" t="str">
        <x:v>Conakry (à vérifier)</x:v>
      </x:c>
      <x:c r="N179" s="33" t="str"/>
      <x:c r="O179" s="33" t="str">
        <x:v>Rue secondaire</x:v>
      </x:c>
      <x:c r="P179" s="33" t="str"/>
      <x:c r="Q179" s="33" t="str"/>
      <x:c r="R179" s="33" t="str"/>
      <x:c r="S179" s="33" t="str"/>
      <x:c r="T179" s="35" t="n">
        <x:v>9.6313625</x:v>
      </x:c>
      <x:c r="U179" s="35" t="n">
        <x:v>-13.6014289</x:v>
      </x:c>
      <x:c r="V179" s="33" t="str">
        <x:v>https://www.openstreetmap.org/node/7052866986</x:v>
      </x:c>
      <x:c r="W179" s="33" t="str">
        <x:v>node/7052866986</x:v>
      </x:c>
      <x:c r="X179" s="33" t="str">
        <x:v>review_required</x:v>
      </x:c>
      <x:c r="Y179" s="33" t="str">
        <x:v>bal poussiere|conakry a verifier</x:v>
      </x:c>
      <x:c r="Z179" s="33" t="str"/>
      <x:c r="AA179" s="33" t="str"/>
    </x:row>
    <x:row r="180">
      <x:c r="A180" s="30" t="str">
        <x:v>À vérifier</x:v>
      </x:c>
      <x:c r="B180" s="30" t="str"/>
      <x:c r="C180" s="31"/>
      <x:c r="D180" s="30" t="str">
        <x:v>Non vérifié</x:v>
      </x:c>
      <x:c r="E180" s="30" t="str"/>
      <x:c r="F180" s="30" t="str"/>
      <x:c r="G180" s="32" t="str"/>
      <x:c r="H180" s="33" t="str">
        <x:f>IF(I180&lt;&gt;"","Doublon possible","")</x:f>
      </x:c>
      <x:c r="I180" s="33" t="str">
        <x:f>IF(COUNTIFS($Y$9:$Y$678,Y180)&gt;1,"Nom + ville",IF(AND(Z180&lt;&gt;"",COUNTIFS($Z$9:$Z$678,Z180)&gt;1),"Téléphone",IF(AND(AA180&lt;&gt;"",COUNTIFS($AA$9:$AA$678,AA180)&gt;1),"Site web","")))</x:f>
      </x:c>
      <x:c r="J180" s="33" t="str">
        <x:v>Blue Zone de Kaloum</x:v>
      </x:c>
      <x:c r="K180" s="33" t="str">
        <x:v>Divertissement / Entertainment</x:v>
      </x:c>
      <x:c r="L180" s="33" t="str">
        <x:v>Centres de loisirs</x:v>
      </x:c>
      <x:c r="M180" s="33" t="str">
        <x:v>Conakry (à vérifier)</x:v>
      </x:c>
      <x:c r="N180" s="33" t="str"/>
      <x:c r="O180" s="33" t="str">
        <x:v>Conakry, Kaloum, Almamiya 2, en face de la gare</x:v>
      </x:c>
      <x:c r="P180" s="33" t="str">
        <x:v>+224 654216792</x:v>
      </x:c>
      <x:c r="Q180" s="33" t="str"/>
      <x:c r="R180" s="33" t="str">
        <x:v>http://www.guinee2020.com</x:v>
      </x:c>
      <x:c r="S180" s="33" t="str"/>
      <x:c r="T180" s="35" t="n">
        <x:v>9.5131666</x:v>
      </x:c>
      <x:c r="U180" s="35" t="n">
        <x:v>-13.7078154</x:v>
      </x:c>
      <x:c r="V180" s="33" t="str">
        <x:v>https://www.openstreetmap.org/node/5264896221</x:v>
      </x:c>
      <x:c r="W180" s="33" t="str">
        <x:v>node/5264896221</x:v>
      </x:c>
      <x:c r="X180" s="33" t="str">
        <x:v>review_required</x:v>
      </x:c>
      <x:c r="Y180" s="33" t="str">
        <x:v>blue zone de kaloum|conakry a verifier</x:v>
      </x:c>
      <x:c r="Z180" s="33" t="str">
        <x:v>224654216792</x:v>
      </x:c>
      <x:c r="AA180" s="33" t="str">
        <x:v>guinee2020.com</x:v>
      </x:c>
    </x:row>
    <x:row r="181">
      <x:c r="A181" s="30" t="str">
        <x:v>À vérifier</x:v>
      </x:c>
      <x:c r="B181" s="30" t="str"/>
      <x:c r="C181" s="31"/>
      <x:c r="D181" s="30" t="str">
        <x:v>Non vérifié</x:v>
      </x:c>
      <x:c r="E181" s="30" t="str"/>
      <x:c r="F181" s="30" t="str"/>
      <x:c r="G181" s="32" t="str"/>
      <x:c r="H181" s="33" t="str">
        <x:f>IF(I181&lt;&gt;"","Doublon possible","")</x:f>
        <x:v>Doublon possible</x:v>
      </x:c>
      <x:c r="I181" s="33" t="str">
        <x:f>IF(COUNTIFS($Y$9:$Y$678,Y181)&gt;1,"Nom + ville",IF(AND(Z181&lt;&gt;"",COUNTIFS($Z$9:$Z$678,Z181)&gt;1),"Téléphone",IF(AND(AA181&lt;&gt;"",COUNTIFS($AA$9:$AA$678,AA181)&gt;1),"Site web","")))</x:f>
        <x:v>Nom + ville</x:v>
      </x:c>
      <x:c r="J181" s="33" t="str">
        <x:v>Café PMU</x:v>
      </x:c>
      <x:c r="K181" s="33" t="str">
        <x:v>Divertissement / Entertainment</x:v>
      </x:c>
      <x:c r="L181" s="33" t="str">
        <x:v>Bars et lounges</x:v>
      </x:c>
      <x:c r="M181" s="33" t="str">
        <x:v>Conakry (à vérifier)</x:v>
      </x:c>
      <x:c r="N181" s="33" t="str"/>
      <x:c r="O181" s="33" t="str"/>
      <x:c r="P181" s="33" t="str">
        <x:v>624752244</x:v>
      </x:c>
      <x:c r="Q181" s="33" t="str"/>
      <x:c r="R181" s="33" t="str"/>
      <x:c r="S181" s="33" t="str"/>
      <x:c r="T181" s="35" t="n">
        <x:v>9.6760235</x:v>
      </x:c>
      <x:c r="U181" s="35" t="n">
        <x:v>-13.5431127</x:v>
      </x:c>
      <x:c r="V181" s="33" t="str">
        <x:v>https://www.openstreetmap.org/node/7589518025</x:v>
      </x:c>
      <x:c r="W181" s="33" t="str">
        <x:v>node/7589518025</x:v>
      </x:c>
      <x:c r="X181" s="33" t="str">
        <x:v>review_required</x:v>
      </x:c>
      <x:c r="Y181" s="33" t="str">
        <x:v>cafe pmu|conakry a verifier</x:v>
      </x:c>
      <x:c r="Z181" s="33" t="str">
        <x:v>224624752244</x:v>
      </x:c>
      <x:c r="AA181" s="33" t="str"/>
    </x:row>
    <x:row r="182">
      <x:c r="A182" s="30" t="str">
        <x:v>À vérifier</x:v>
      </x:c>
      <x:c r="B182" s="30" t="str"/>
      <x:c r="C182" s="31"/>
      <x:c r="D182" s="30" t="str">
        <x:v>Non vérifié</x:v>
      </x:c>
      <x:c r="E182" s="30" t="str"/>
      <x:c r="F182" s="30" t="str"/>
      <x:c r="G182" s="32" t="str"/>
      <x:c r="H182" s="33" t="str">
        <x:f>IF(I182&lt;&gt;"","Doublon possible","")</x:f>
      </x:c>
      <x:c r="I182" s="33" t="str">
        <x:f>IF(COUNTIFS($Y$9:$Y$678,Y182)&gt;1,"Nom + ville",IF(AND(Z182&lt;&gt;"",COUNTIFS($Z$9:$Z$678,Z182)&gt;1),"Téléphone",IF(AND(AA182&lt;&gt;"",COUNTIFS($AA$9:$AA$678,AA182)&gt;1),"Site web","")))</x:f>
      </x:c>
      <x:c r="J182" s="33" t="str">
        <x:v>CanalOlympia Kaloum</x:v>
      </x:c>
      <x:c r="K182" s="33" t="str">
        <x:v>Divertissement / Entertainment</x:v>
      </x:c>
      <x:c r="L182" s="33" t="str">
        <x:v>Cinémas</x:v>
      </x:c>
      <x:c r="M182" s="33" t="str">
        <x:v>Conakry (à vérifier)</x:v>
      </x:c>
      <x:c r="N182" s="33" t="str"/>
      <x:c r="O182" s="33" t="str"/>
      <x:c r="P182" s="33" t="str"/>
      <x:c r="Q182" s="33" t="str"/>
      <x:c r="R182" s="33" t="str">
        <x:v>https://www.canalolympia.com/theaters/kaloum/</x:v>
      </x:c>
      <x:c r="S182" s="33" t="str"/>
      <x:c r="T182" s="35" t="n">
        <x:v>9.5131897</x:v>
      </x:c>
      <x:c r="U182" s="35" t="n">
        <x:v>-13.7083502</x:v>
      </x:c>
      <x:c r="V182" s="33" t="str">
        <x:v>https://www.openstreetmap.org/way/654220809</x:v>
      </x:c>
      <x:c r="W182" s="33" t="str">
        <x:v>way/654220809</x:v>
      </x:c>
      <x:c r="X182" s="33" t="str">
        <x:v>review_required</x:v>
      </x:c>
      <x:c r="Y182" s="33" t="str">
        <x:v>canalolympia kaloum|conakry a verifier</x:v>
      </x:c>
      <x:c r="Z182" s="33" t="str"/>
      <x:c r="AA182" s="33" t="str">
        <x:v>canalolympia.com/theaters/kaloum</x:v>
      </x:c>
    </x:row>
    <x:row r="183">
      <x:c r="A183" s="30" t="str">
        <x:v>À vérifier</x:v>
      </x:c>
      <x:c r="B183" s="30" t="str"/>
      <x:c r="C183" s="31"/>
      <x:c r="D183" s="30" t="str">
        <x:v>Non vérifié</x:v>
      </x:c>
      <x:c r="E183" s="30" t="str"/>
      <x:c r="F183" s="30" t="str"/>
      <x:c r="G183" s="32" t="str"/>
      <x:c r="H183" s="33" t="str">
        <x:f>IF(I183&lt;&gt;"","Doublon possible","")</x:f>
      </x:c>
      <x:c r="I183" s="33" t="str">
        <x:f>IF(COUNTIFS($Y$9:$Y$678,Y183)&gt;1,"Nom + ville",IF(AND(Z183&lt;&gt;"",COUNTIFS($Z$9:$Z$678,Z183)&gt;1),"Téléphone",IF(AND(AA183&lt;&gt;"",COUNTIFS($AA$9:$AA$678,AA183)&gt;1),"Site web","")))</x:f>
      </x:c>
      <x:c r="J183" s="33" t="str">
        <x:v>CanalOlympia Tombolia</x:v>
      </x:c>
      <x:c r="K183" s="33" t="str">
        <x:v>Divertissement / Entertainment</x:v>
      </x:c>
      <x:c r="L183" s="33" t="str">
        <x:v>Cinémas</x:v>
      </x:c>
      <x:c r="M183" s="33" t="str">
        <x:v>Conakry (à vérifier)</x:v>
      </x:c>
      <x:c r="N183" s="33" t="str"/>
      <x:c r="O183" s="33" t="str"/>
      <x:c r="P183" s="33" t="str"/>
      <x:c r="Q183" s="33" t="str"/>
      <x:c r="R183" s="33" t="str">
        <x:v>https://www.canalolympia.com/theaters/tombolia/</x:v>
      </x:c>
      <x:c r="S183" s="33" t="str"/>
      <x:c r="T183" s="35" t="n">
        <x:v>9.6506052</x:v>
      </x:c>
      <x:c r="U183" s="35" t="n">
        <x:v>-13.5526924</x:v>
      </x:c>
      <x:c r="V183" s="33" t="str">
        <x:v>https://www.openstreetmap.org/way/881972073</x:v>
      </x:c>
      <x:c r="W183" s="33" t="str">
        <x:v>way/881972073</x:v>
      </x:c>
      <x:c r="X183" s="33" t="str">
        <x:v>review_required</x:v>
      </x:c>
      <x:c r="Y183" s="33" t="str">
        <x:v>canalolympia tombolia|conakry a verifier</x:v>
      </x:c>
      <x:c r="Z183" s="33" t="str"/>
      <x:c r="AA183" s="33" t="str">
        <x:v>canalolympia.com/theaters/tombolia</x:v>
      </x:c>
    </x:row>
    <x:row r="184">
      <x:c r="A184" s="30" t="str">
        <x:v>À vérifier</x:v>
      </x:c>
      <x:c r="B184" s="30" t="str"/>
      <x:c r="C184" s="31"/>
      <x:c r="D184" s="30" t="str">
        <x:v>Non vérifié</x:v>
      </x:c>
      <x:c r="E184" s="30" t="str"/>
      <x:c r="F184" s="30" t="str"/>
      <x:c r="G184" s="32" t="str"/>
      <x:c r="H184" s="33" t="str">
        <x:f>IF(I184&lt;&gt;"","Doublon possible","")</x:f>
      </x:c>
      <x:c r="I184" s="33" t="str">
        <x:f>IF(COUNTIFS($Y$9:$Y$678,Y184)&gt;1,"Nom + ville",IF(AND(Z184&lt;&gt;"",COUNTIFS($Z$9:$Z$678,Z184)&gt;1),"Téléphone",IF(AND(AA184&lt;&gt;"",COUNTIFS($AA$9:$AA$678,AA184)&gt;1),"Site web","")))</x:f>
      </x:c>
      <x:c r="J184" s="33" t="str">
        <x:v>Centre Culturel Franco-Guinéen</x:v>
      </x:c>
      <x:c r="K184" s="33" t="str">
        <x:v>Divertissement / Entertainment</x:v>
      </x:c>
      <x:c r="L184" s="33" t="str">
        <x:v>Centres de loisirs</x:v>
      </x:c>
      <x:c r="M184" s="33" t="str">
        <x:v>Conakry</x:v>
      </x:c>
      <x:c r="N184" s="33" t="str"/>
      <x:c r="O184" s="33" t="str">
        <x:v>Tombo, face au jardin du 2 octobre, sur l’autoroute au niveau du pont du 8 novembre, Conakry, Guinée</x:v>
      </x:c>
      <x:c r="P184" s="33" t="str">
        <x:v>+224 621904019</x:v>
      </x:c>
      <x:c r="Q184" s="33" t="str">
        <x:v>culture@ccfg-conakry.org</x:v>
      </x:c>
      <x:c r="R184" s="33" t="str">
        <x:v>http://www.ccfg-conakry.org</x:v>
      </x:c>
      <x:c r="S184" s="33" t="str"/>
      <x:c r="T184" s="35" t="n">
        <x:v>9.5247475</x:v>
      </x:c>
      <x:c r="U184" s="35" t="n">
        <x:v>-13.6894039</x:v>
      </x:c>
      <x:c r="V184" s="33" t="str">
        <x:v>https://www.openstreetmap.org/way/584328943</x:v>
      </x:c>
      <x:c r="W184" s="33" t="str">
        <x:v>way/584328943</x:v>
      </x:c>
      <x:c r="X184" s="33" t="str">
        <x:v>review_required</x:v>
      </x:c>
      <x:c r="Y184" s="33" t="str">
        <x:v>centre culturel franco guineen|conakry</x:v>
      </x:c>
      <x:c r="Z184" s="33" t="str">
        <x:v>224621904019</x:v>
      </x:c>
      <x:c r="AA184" s="33" t="str">
        <x:v>ccfg-conakry.org</x:v>
      </x:c>
    </x:row>
    <x:row r="185">
      <x:c r="A185" s="30" t="str">
        <x:v>À vérifier</x:v>
      </x:c>
      <x:c r="B185" s="30" t="str"/>
      <x:c r="C185" s="31"/>
      <x:c r="D185" s="30" t="str">
        <x:v>Non vérifié</x:v>
      </x:c>
      <x:c r="E185" s="30" t="str"/>
      <x:c r="F185" s="30" t="str"/>
      <x:c r="G185" s="32" t="str"/>
      <x:c r="H185" s="33" t="str">
        <x:f>IF(I185&lt;&gt;"","Doublon possible","")</x:f>
      </x:c>
      <x:c r="I185" s="33" t="str">
        <x:f>IF(COUNTIFS($Y$9:$Y$678,Y185)&gt;1,"Nom + ville",IF(AND(Z185&lt;&gt;"",COUNTIFS($Z$9:$Z$678,Z185)&gt;1),"Téléphone",IF(AND(AA185&lt;&gt;"",COUNTIFS($AA$9:$AA$678,AA185)&gt;1),"Site web","")))</x:f>
      </x:c>
      <x:c r="J185" s="33" t="str">
        <x:v>City Lounge Premium</x:v>
      </x:c>
      <x:c r="K185" s="33" t="str">
        <x:v>Divertissement / Entertainment</x:v>
      </x:c>
      <x:c r="L185" s="33" t="str">
        <x:v>Bars et lounges</x:v>
      </x:c>
      <x:c r="M185" s="33" t="str">
        <x:v>Conakry</x:v>
      </x:c>
      <x:c r="N185" s="33" t="str"/>
      <x:c r="O185" s="33" t="str">
        <x:v>lambandji station tmi</x:v>
      </x:c>
      <x:c r="P185" s="33" t="str">
        <x:v>+224610020259</x:v>
      </x:c>
      <x:c r="Q185" s="33" t="str"/>
      <x:c r="R185" s="33" t="str"/>
      <x:c r="S185" s="33" t="str"/>
      <x:c r="T185" s="35" t="n">
        <x:v>9.6343434</x:v>
      </x:c>
      <x:c r="U185" s="35" t="n">
        <x:v>-13.6239893</x:v>
      </x:c>
      <x:c r="V185" s="33" t="str">
        <x:v>https://www.openstreetmap.org/node/9257439804</x:v>
      </x:c>
      <x:c r="W185" s="33" t="str">
        <x:v>node/9257439804</x:v>
      </x:c>
      <x:c r="X185" s="33" t="str">
        <x:v>review_required</x:v>
      </x:c>
      <x:c r="Y185" s="33" t="str">
        <x:v>city lounge premium|conakry</x:v>
      </x:c>
      <x:c r="Z185" s="33" t="str">
        <x:v>224610020259</x:v>
      </x:c>
      <x:c r="AA185" s="33" t="str"/>
    </x:row>
    <x:row r="186">
      <x:c r="A186" s="30" t="str">
        <x:v>À vérifier</x:v>
      </x:c>
      <x:c r="B186" s="30" t="str"/>
      <x:c r="C186" s="31"/>
      <x:c r="D186" s="30" t="str">
        <x:v>Non vérifié</x:v>
      </x:c>
      <x:c r="E186" s="30" t="str"/>
      <x:c r="F186" s="30" t="str"/>
      <x:c r="G186" s="32" t="str"/>
      <x:c r="H186" s="33" t="str">
        <x:f>IF(I186&lt;&gt;"","Doublon possible","")</x:f>
      </x:c>
      <x:c r="I186" s="33" t="str">
        <x:f>IF(COUNTIFS($Y$9:$Y$678,Y186)&gt;1,"Nom + ville",IF(AND(Z186&lt;&gt;"",COUNTIFS($Z$9:$Z$678,Z186)&gt;1),"Téléphone",IF(AND(AA186&lt;&gt;"",COUNTIFS($AA$9:$AA$678,AA186)&gt;1),"Site web","")))</x:f>
      </x:c>
      <x:c r="J186" s="33" t="str">
        <x:v>Class A lounge</x:v>
      </x:c>
      <x:c r="K186" s="33" t="str">
        <x:v>Divertissement / Entertainment</x:v>
      </x:c>
      <x:c r="L186" s="33" t="str">
        <x:v>Bars et lounges</x:v>
      </x:c>
      <x:c r="M186" s="33" t="str">
        <x:v>conakry</x:v>
      </x:c>
      <x:c r="N186" s="33" t="str"/>
      <x:c r="O186" s="33" t="str">
        <x:v>nongo conteyah</x:v>
      </x:c>
      <x:c r="P186" s="33" t="str"/>
      <x:c r="Q186" s="33" t="str"/>
      <x:c r="R186" s="33" t="str"/>
      <x:c r="S186" s="33" t="str"/>
      <x:c r="T186" s="35" t="n">
        <x:v>9.6163541</x:v>
      </x:c>
      <x:c r="U186" s="35" t="n">
        <x:v>-13.6335006</x:v>
      </x:c>
      <x:c r="V186" s="33" t="str">
        <x:v>https://www.openstreetmap.org/node/9275017614</x:v>
      </x:c>
      <x:c r="W186" s="33" t="str">
        <x:v>node/9275017614</x:v>
      </x:c>
      <x:c r="X186" s="33" t="str">
        <x:v>review_required</x:v>
      </x:c>
      <x:c r="Y186" s="33" t="str">
        <x:v>class a lounge|conakry</x:v>
      </x:c>
      <x:c r="Z186" s="33" t="str"/>
      <x:c r="AA186" s="33" t="str"/>
    </x:row>
    <x:row r="187">
      <x:c r="A187" s="30" t="str">
        <x:v>À vérifier</x:v>
      </x:c>
      <x:c r="B187" s="30" t="str"/>
      <x:c r="C187" s="31"/>
      <x:c r="D187" s="30" t="str">
        <x:v>Non vérifié</x:v>
      </x:c>
      <x:c r="E187" s="30" t="str"/>
      <x:c r="F187" s="30" t="str"/>
      <x:c r="G187" s="32" t="str"/>
      <x:c r="H187" s="33" t="str">
        <x:f>IF(I187&lt;&gt;"","Doublon possible","")</x:f>
        <x:v>Doublon possible</x:v>
      </x:c>
      <x:c r="I187" s="33" t="str">
        <x:f>IF(COUNTIFS($Y$9:$Y$678,Y187)&gt;1,"Nom + ville",IF(AND(Z187&lt;&gt;"",COUNTIFS($Z$9:$Z$678,Z187)&gt;1),"Téléphone",IF(AND(AA187&lt;&gt;"",COUNTIFS($AA$9:$AA$678,AA187)&gt;1),"Site web","")))</x:f>
        <x:v>Nom + ville</x:v>
      </x:c>
      <x:c r="J187" s="33" t="str">
        <x:v>Classe A lounge</x:v>
      </x:c>
      <x:c r="K187" s="33" t="str">
        <x:v>Divertissement / Entertainment</x:v>
      </x:c>
      <x:c r="L187" s="33" t="str">
        <x:v>Bars et lounges</x:v>
      </x:c>
      <x:c r="M187" s="33" t="str">
        <x:v>conakry</x:v>
      </x:c>
      <x:c r="N187" s="33" t="str"/>
      <x:c r="O187" s="33" t="str">
        <x:v>nongo J988+MG Conakry, Guinée</x:v>
      </x:c>
      <x:c r="P187" s="33" t="str"/>
      <x:c r="Q187" s="33" t="str"/>
      <x:c r="R187" s="33" t="str"/>
      <x:c r="S187" s="33" t="str"/>
      <x:c r="T187" s="35" t="n">
        <x:v>9.6165007</x:v>
      </x:c>
      <x:c r="U187" s="35" t="n">
        <x:v>-13.6337951</x:v>
      </x:c>
      <x:c r="V187" s="33" t="str">
        <x:v>https://www.openstreetmap.org/node/457714368</x:v>
      </x:c>
      <x:c r="W187" s="33" t="str">
        <x:v>node/457714368</x:v>
      </x:c>
      <x:c r="X187" s="33" t="str">
        <x:v>review_required</x:v>
      </x:c>
      <x:c r="Y187" s="33" t="str">
        <x:v>classe a lounge|conakry</x:v>
      </x:c>
      <x:c r="Z187" s="33" t="str"/>
      <x:c r="AA187" s="33" t="str"/>
    </x:row>
    <x:row r="188">
      <x:c r="A188" s="30" t="str">
        <x:v>À vérifier</x:v>
      </x:c>
      <x:c r="B188" s="30" t="str"/>
      <x:c r="C188" s="31"/>
      <x:c r="D188" s="30" t="str">
        <x:v>Non vérifié</x:v>
      </x:c>
      <x:c r="E188" s="30" t="str"/>
      <x:c r="F188" s="30" t="str"/>
      <x:c r="G188" s="32" t="str"/>
      <x:c r="H188" s="33" t="str">
        <x:f>IF(I188&lt;&gt;"","Doublon possible","")</x:f>
        <x:v>Doublon possible</x:v>
      </x:c>
      <x:c r="I188" s="33" t="str">
        <x:f>IF(COUNTIFS($Y$9:$Y$678,Y188)&gt;1,"Nom + ville",IF(AND(Z188&lt;&gt;"",COUNTIFS($Z$9:$Z$678,Z188)&gt;1),"Téléphone",IF(AND(AA188&lt;&gt;"",COUNTIFS($AA$9:$AA$678,AA188)&gt;1),"Site web","")))</x:f>
        <x:v>Nom + ville</x:v>
      </x:c>
      <x:c r="J188" s="33" t="str">
        <x:v>Classe A lounge</x:v>
      </x:c>
      <x:c r="K188" s="33" t="str">
        <x:v>Divertissement / Entertainment</x:v>
      </x:c>
      <x:c r="L188" s="33" t="str">
        <x:v>Bars et lounges</x:v>
      </x:c>
      <x:c r="M188" s="33" t="str">
        <x:v>conakry</x:v>
      </x:c>
      <x:c r="N188" s="33" t="str"/>
      <x:c r="O188" s="33" t="str">
        <x:v>nongo J988+MG Conakry, Guinée</x:v>
      </x:c>
      <x:c r="P188" s="33" t="str"/>
      <x:c r="Q188" s="33" t="str"/>
      <x:c r="R188" s="33" t="str"/>
      <x:c r="S188" s="33" t="str"/>
      <x:c r="T188" s="35" t="n">
        <x:v>9.6164334</x:v>
      </x:c>
      <x:c r="U188" s="35" t="n">
        <x:v>-13.6335864</x:v>
      </x:c>
      <x:c r="V188" s="33" t="str">
        <x:v>https://www.openstreetmap.org/node/9275017612</x:v>
      </x:c>
      <x:c r="W188" s="33" t="str">
        <x:v>node/9275017612</x:v>
      </x:c>
      <x:c r="X188" s="33" t="str">
        <x:v>review_required</x:v>
      </x:c>
      <x:c r="Y188" s="33" t="str">
        <x:v>classe a lounge|conakry</x:v>
      </x:c>
      <x:c r="Z188" s="33" t="str"/>
      <x:c r="AA188" s="33" t="str"/>
    </x:row>
    <x:row r="189">
      <x:c r="A189" s="30" t="str">
        <x:v>À vérifier</x:v>
      </x:c>
      <x:c r="B189" s="30" t="str"/>
      <x:c r="C189" s="31"/>
      <x:c r="D189" s="30" t="str">
        <x:v>Non vérifié</x:v>
      </x:c>
      <x:c r="E189" s="30" t="str"/>
      <x:c r="F189" s="30" t="str"/>
      <x:c r="G189" s="32" t="str"/>
      <x:c r="H189" s="33" t="str">
        <x:f>IF(I189&lt;&gt;"","Doublon possible","")</x:f>
        <x:v>Doublon possible</x:v>
      </x:c>
      <x:c r="I189" s="33" t="str">
        <x:f>IF(COUNTIFS($Y$9:$Y$678,Y189)&gt;1,"Nom + ville",IF(AND(Z189&lt;&gt;"",COUNTIFS($Z$9:$Z$678,Z189)&gt;1),"Téléphone",IF(AND(AA189&lt;&gt;"",COUNTIFS($AA$9:$AA$678,AA189)&gt;1),"Site web","")))</x:f>
        <x:v>Nom + ville</x:v>
      </x:c>
      <x:c r="J189" s="33" t="str">
        <x:v>Classe A lounge</x:v>
      </x:c>
      <x:c r="K189" s="33" t="str">
        <x:v>Divertissement / Entertainment</x:v>
      </x:c>
      <x:c r="L189" s="33" t="str">
        <x:v>Bars et lounges</x:v>
      </x:c>
      <x:c r="M189" s="33" t="str">
        <x:v>conakry</x:v>
      </x:c>
      <x:c r="N189" s="33" t="str"/>
      <x:c r="O189" s="33" t="str">
        <x:v>nongo J988+MG Conakry, Guinée</x:v>
      </x:c>
      <x:c r="P189" s="33" t="str"/>
      <x:c r="Q189" s="33" t="str"/>
      <x:c r="R189" s="33" t="str"/>
      <x:c r="S189" s="33" t="str"/>
      <x:c r="T189" s="35" t="n">
        <x:v>9.6163382</x:v>
      </x:c>
      <x:c r="U189" s="35" t="n">
        <x:v>-13.6336562</x:v>
      </x:c>
      <x:c r="V189" s="33" t="str">
        <x:v>https://www.openstreetmap.org/node/9275017613</x:v>
      </x:c>
      <x:c r="W189" s="33" t="str">
        <x:v>node/9275017613</x:v>
      </x:c>
      <x:c r="X189" s="33" t="str">
        <x:v>review_required</x:v>
      </x:c>
      <x:c r="Y189" s="33" t="str">
        <x:v>classe a lounge|conakry</x:v>
      </x:c>
      <x:c r="Z189" s="33" t="str"/>
      <x:c r="AA189" s="33" t="str"/>
    </x:row>
    <x:row r="190">
      <x:c r="A190" s="30" t="str">
        <x:v>À vérifier</x:v>
      </x:c>
      <x:c r="B190" s="30" t="str"/>
      <x:c r="C190" s="31"/>
      <x:c r="D190" s="30" t="str">
        <x:v>Non vérifié</x:v>
      </x:c>
      <x:c r="E190" s="30" t="str"/>
      <x:c r="F190" s="30" t="str"/>
      <x:c r="G190" s="32" t="str"/>
      <x:c r="H190" s="33" t="str">
        <x:f>IF(I190&lt;&gt;"","Doublon possible","")</x:f>
        <x:v>Doublon possible</x:v>
      </x:c>
      <x:c r="I190" s="33" t="str">
        <x:f>IF(COUNTIFS($Y$9:$Y$678,Y190)&gt;1,"Nom + ville",IF(AND(Z190&lt;&gt;"",COUNTIFS($Z$9:$Z$678,Z190)&gt;1),"Téléphone",IF(AND(AA190&lt;&gt;"",COUNTIFS($AA$9:$AA$678,AA190)&gt;1),"Site web","")))</x:f>
        <x:v>Nom + ville</x:v>
      </x:c>
      <x:c r="J190" s="33" t="str">
        <x:v>Classe A lounge</x:v>
      </x:c>
      <x:c r="K190" s="33" t="str">
        <x:v>Divertissement / Entertainment</x:v>
      </x:c>
      <x:c r="L190" s="33" t="str">
        <x:v>Bars et lounges</x:v>
      </x:c>
      <x:c r="M190" s="33" t="str">
        <x:v>conakry</x:v>
      </x:c>
      <x:c r="N190" s="33" t="str"/>
      <x:c r="O190" s="33" t="str">
        <x:v>nongo J988+MG Conakry, Guinée</x:v>
      </x:c>
      <x:c r="P190" s="33" t="str"/>
      <x:c r="Q190" s="33" t="str"/>
      <x:c r="R190" s="33" t="str"/>
      <x:c r="S190" s="33" t="str"/>
      <x:c r="T190" s="35" t="n">
        <x:v>9.6162906</x:v>
      </x:c>
      <x:c r="U190" s="35" t="n">
        <x:v>-13.633404</x:v>
      </x:c>
      <x:c r="V190" s="33" t="str">
        <x:v>https://www.openstreetmap.org/node/9275017615</x:v>
      </x:c>
      <x:c r="W190" s="33" t="str">
        <x:v>node/9275017615</x:v>
      </x:c>
      <x:c r="X190" s="33" t="str">
        <x:v>review_required</x:v>
      </x:c>
      <x:c r="Y190" s="33" t="str">
        <x:v>classe a lounge|conakry</x:v>
      </x:c>
      <x:c r="Z190" s="33" t="str"/>
      <x:c r="AA190" s="33" t="str"/>
    </x:row>
    <x:row r="191">
      <x:c r="A191" s="30" t="str">
        <x:v>À vérifier</x:v>
      </x:c>
      <x:c r="B191" s="30" t="str"/>
      <x:c r="C191" s="31"/>
      <x:c r="D191" s="30" t="str">
        <x:v>Non vérifié</x:v>
      </x:c>
      <x:c r="E191" s="30" t="str"/>
      <x:c r="F191" s="30" t="str"/>
      <x:c r="G191" s="32" t="str"/>
      <x:c r="H191" s="33" t="str">
        <x:f>IF(I191&lt;&gt;"","Doublon possible","")</x:f>
        <x:v>Doublon possible</x:v>
      </x:c>
      <x:c r="I191" s="33" t="str">
        <x:f>IF(COUNTIFS($Y$9:$Y$678,Y191)&gt;1,"Nom + ville",IF(AND(Z191&lt;&gt;"",COUNTIFS($Z$9:$Z$678,Z191)&gt;1),"Téléphone",IF(AND(AA191&lt;&gt;"",COUNTIFS($AA$9:$AA$678,AA191)&gt;1),"Site web","")))</x:f>
        <x:v>Nom + ville</x:v>
      </x:c>
      <x:c r="J191" s="33" t="str">
        <x:v>Classe A lounge</x:v>
      </x:c>
      <x:c r="K191" s="33" t="str">
        <x:v>Divertissement / Entertainment</x:v>
      </x:c>
      <x:c r="L191" s="33" t="str">
        <x:v>Bars et lounges</x:v>
      </x:c>
      <x:c r="M191" s="33" t="str">
        <x:v>conakry</x:v>
      </x:c>
      <x:c r="N191" s="33" t="str"/>
      <x:c r="O191" s="33" t="str">
        <x:v>nongo J988+MG Conakry, Guinée</x:v>
      </x:c>
      <x:c r="P191" s="33" t="str"/>
      <x:c r="Q191" s="33" t="str"/>
      <x:c r="R191" s="33" t="str"/>
      <x:c r="S191" s="33" t="str"/>
      <x:c r="T191" s="35" t="n">
        <x:v>9.6162272</x:v>
      </x:c>
      <x:c r="U191" s="35" t="n">
        <x:v>-13.6333182</x:v>
      </x:c>
      <x:c r="V191" s="33" t="str">
        <x:v>https://www.openstreetmap.org/node/9275017616</x:v>
      </x:c>
      <x:c r="W191" s="33" t="str">
        <x:v>node/9275017616</x:v>
      </x:c>
      <x:c r="X191" s="33" t="str">
        <x:v>review_required</x:v>
      </x:c>
      <x:c r="Y191" s="33" t="str">
        <x:v>classe a lounge|conakry</x:v>
      </x:c>
      <x:c r="Z191" s="33" t="str"/>
      <x:c r="AA191" s="33" t="str"/>
    </x:row>
    <x:row r="192">
      <x:c r="A192" s="30" t="str">
        <x:v>À vérifier</x:v>
      </x:c>
      <x:c r="B192" s="30" t="str"/>
      <x:c r="C192" s="31"/>
      <x:c r="D192" s="30" t="str">
        <x:v>Non vérifié</x:v>
      </x:c>
      <x:c r="E192" s="30" t="str"/>
      <x:c r="F192" s="30" t="str"/>
      <x:c r="G192" s="32" t="str"/>
      <x:c r="H192" s="33" t="str">
        <x:f>IF(I192&lt;&gt;"","Doublon possible","")</x:f>
        <x:v>Doublon possible</x:v>
      </x:c>
      <x:c r="I192" s="33" t="str">
        <x:f>IF(COUNTIFS($Y$9:$Y$678,Y192)&gt;1,"Nom + ville",IF(AND(Z192&lt;&gt;"",COUNTIFS($Z$9:$Z$678,Z192)&gt;1),"Téléphone",IF(AND(AA192&lt;&gt;"",COUNTIFS($AA$9:$AA$678,AA192)&gt;1),"Site web","")))</x:f>
        <x:v>Nom + ville</x:v>
      </x:c>
      <x:c r="J192" s="33" t="str">
        <x:v>Classe A lounge</x:v>
      </x:c>
      <x:c r="K192" s="33" t="str">
        <x:v>Divertissement / Entertainment</x:v>
      </x:c>
      <x:c r="L192" s="33" t="str">
        <x:v>Bars et lounges</x:v>
      </x:c>
      <x:c r="M192" s="33" t="str">
        <x:v>conakry</x:v>
      </x:c>
      <x:c r="N192" s="33" t="str"/>
      <x:c r="O192" s="33" t="str">
        <x:v>nongo J988+MG Conakry, Guinée</x:v>
      </x:c>
      <x:c r="P192" s="33" t="str"/>
      <x:c r="Q192" s="33" t="str"/>
      <x:c r="R192" s="33" t="str"/>
      <x:c r="S192" s="33" t="str"/>
      <x:c r="T192" s="35" t="n">
        <x:v>9.6161161</x:v>
      </x:c>
      <x:c r="U192" s="35" t="n">
        <x:v>-13.633286</x:v>
      </x:c>
      <x:c r="V192" s="33" t="str">
        <x:v>https://www.openstreetmap.org/node/9275056417</x:v>
      </x:c>
      <x:c r="W192" s="33" t="str">
        <x:v>node/9275056417</x:v>
      </x:c>
      <x:c r="X192" s="33" t="str">
        <x:v>review_required</x:v>
      </x:c>
      <x:c r="Y192" s="33" t="str">
        <x:v>classe a lounge|conakry</x:v>
      </x:c>
      <x:c r="Z192" s="33" t="str"/>
      <x:c r="AA192" s="33" t="str"/>
    </x:row>
    <x:row r="193">
      <x:c r="A193" s="30" t="str">
        <x:v>À vérifier</x:v>
      </x:c>
      <x:c r="B193" s="30" t="str"/>
      <x:c r="C193" s="31"/>
      <x:c r="D193" s="30" t="str">
        <x:v>Non vérifié</x:v>
      </x:c>
      <x:c r="E193" s="30" t="str"/>
      <x:c r="F193" s="30" t="str"/>
      <x:c r="G193" s="32" t="str"/>
      <x:c r="H193" s="33" t="str">
        <x:f>IF(I193&lt;&gt;"","Doublon possible","")</x:f>
        <x:v>Doublon possible</x:v>
      </x:c>
      <x:c r="I193" s="33" t="str">
        <x:f>IF(COUNTIFS($Y$9:$Y$678,Y193)&gt;1,"Nom + ville",IF(AND(Z193&lt;&gt;"",COUNTIFS($Z$9:$Z$678,Z193)&gt;1),"Téléphone",IF(AND(AA193&lt;&gt;"",COUNTIFS($AA$9:$AA$678,AA193)&gt;1),"Site web","")))</x:f>
        <x:v>Nom + ville</x:v>
      </x:c>
      <x:c r="J193" s="33" t="str">
        <x:v>Classe A lounge</x:v>
      </x:c>
      <x:c r="K193" s="33" t="str">
        <x:v>Divertissement / Entertainment</x:v>
      </x:c>
      <x:c r="L193" s="33" t="str">
        <x:v>Bars et lounges</x:v>
      </x:c>
      <x:c r="M193" s="33" t="str">
        <x:v>conakry</x:v>
      </x:c>
      <x:c r="N193" s="33" t="str"/>
      <x:c r="O193" s="33" t="str">
        <x:v>nongo J988+MG Conakry, Guinée</x:v>
      </x:c>
      <x:c r="P193" s="33" t="str"/>
      <x:c r="Q193" s="33" t="str"/>
      <x:c r="R193" s="33" t="str"/>
      <x:c r="S193" s="33" t="str"/>
      <x:c r="T193" s="35" t="n">
        <x:v>9.6160473</x:v>
      </x:c>
      <x:c r="U193" s="35" t="n">
        <x:v>-13.633345</x:v>
      </x:c>
      <x:c r="V193" s="33" t="str">
        <x:v>https://www.openstreetmap.org/node/9275056418</x:v>
      </x:c>
      <x:c r="W193" s="33" t="str">
        <x:v>node/9275056418</x:v>
      </x:c>
      <x:c r="X193" s="33" t="str">
        <x:v>review_required</x:v>
      </x:c>
      <x:c r="Y193" s="33" t="str">
        <x:v>classe a lounge|conakry</x:v>
      </x:c>
      <x:c r="Z193" s="33" t="str"/>
      <x:c r="AA193" s="33" t="str"/>
    </x:row>
    <x:row r="194">
      <x:c r="A194" s="30" t="str">
        <x:v>À vérifier</x:v>
      </x:c>
      <x:c r="B194" s="30" t="str"/>
      <x:c r="C194" s="31"/>
      <x:c r="D194" s="30" t="str">
        <x:v>Non vérifié</x:v>
      </x:c>
      <x:c r="E194" s="30" t="str"/>
      <x:c r="F194" s="30" t="str"/>
      <x:c r="G194" s="32" t="str"/>
      <x:c r="H194" s="33" t="str">
        <x:f>IF(I194&lt;&gt;"","Doublon possible","")</x:f>
        <x:v>Doublon possible</x:v>
      </x:c>
      <x:c r="I194" s="33" t="str">
        <x:f>IF(COUNTIFS($Y$9:$Y$678,Y194)&gt;1,"Nom + ville",IF(AND(Z194&lt;&gt;"",COUNTIFS($Z$9:$Z$678,Z194)&gt;1),"Téléphone",IF(AND(AA194&lt;&gt;"",COUNTIFS($AA$9:$AA$678,AA194)&gt;1),"Site web","")))</x:f>
        <x:v>Nom + ville</x:v>
      </x:c>
      <x:c r="J194" s="33" t="str">
        <x:v>Classe A lounge</x:v>
      </x:c>
      <x:c r="K194" s="33" t="str">
        <x:v>Divertissement / Entertainment</x:v>
      </x:c>
      <x:c r="L194" s="33" t="str">
        <x:v>Bars et lounges</x:v>
      </x:c>
      <x:c r="M194" s="33" t="str">
        <x:v>conakry</x:v>
      </x:c>
      <x:c r="N194" s="33" t="str"/>
      <x:c r="O194" s="33" t="str">
        <x:v>nongo J988+MG Conakry, Guinée</x:v>
      </x:c>
      <x:c r="P194" s="33" t="str"/>
      <x:c r="Q194" s="33" t="str"/>
      <x:c r="R194" s="33" t="str"/>
      <x:c r="S194" s="33" t="str"/>
      <x:c r="T194" s="35" t="n">
        <x:v>9.6159574</x:v>
      </x:c>
      <x:c r="U194" s="35" t="n">
        <x:v>-13.6333987</x:v>
      </x:c>
      <x:c r="V194" s="33" t="str">
        <x:v>https://www.openstreetmap.org/node/9275056419</x:v>
      </x:c>
      <x:c r="W194" s="33" t="str">
        <x:v>node/9275056419</x:v>
      </x:c>
      <x:c r="X194" s="33" t="str">
        <x:v>review_required</x:v>
      </x:c>
      <x:c r="Y194" s="33" t="str">
        <x:v>classe a lounge|conakry</x:v>
      </x:c>
      <x:c r="Z194" s="33" t="str"/>
      <x:c r="AA194" s="33" t="str"/>
    </x:row>
    <x:row r="195">
      <x:c r="A195" s="30" t="str">
        <x:v>À vérifier</x:v>
      </x:c>
      <x:c r="B195" s="30" t="str"/>
      <x:c r="C195" s="31"/>
      <x:c r="D195" s="30" t="str">
        <x:v>Non vérifié</x:v>
      </x:c>
      <x:c r="E195" s="30" t="str"/>
      <x:c r="F195" s="30" t="str"/>
      <x:c r="G195" s="32" t="str"/>
      <x:c r="H195" s="33" t="str">
        <x:f>IF(I195&lt;&gt;"","Doublon possible","")</x:f>
        <x:v>Doublon possible</x:v>
      </x:c>
      <x:c r="I195" s="33" t="str">
        <x:f>IF(COUNTIFS($Y$9:$Y$678,Y195)&gt;1,"Nom + ville",IF(AND(Z195&lt;&gt;"",COUNTIFS($Z$9:$Z$678,Z195)&gt;1),"Téléphone",IF(AND(AA195&lt;&gt;"",COUNTIFS($AA$9:$AA$678,AA195)&gt;1),"Site web","")))</x:f>
        <x:v>Nom + ville</x:v>
      </x:c>
      <x:c r="J195" s="33" t="str">
        <x:v>Classe A lounge</x:v>
      </x:c>
      <x:c r="K195" s="33" t="str">
        <x:v>Divertissement / Entertainment</x:v>
      </x:c>
      <x:c r="L195" s="33" t="str">
        <x:v>Bars et lounges</x:v>
      </x:c>
      <x:c r="M195" s="33" t="str">
        <x:v>conakry</x:v>
      </x:c>
      <x:c r="N195" s="33" t="str"/>
      <x:c r="O195" s="33" t="str">
        <x:v>nongo J988+MG Conakry, Guinée</x:v>
      </x:c>
      <x:c r="P195" s="33" t="str"/>
      <x:c r="Q195" s="33" t="str"/>
      <x:c r="R195" s="33" t="str"/>
      <x:c r="S195" s="33" t="str"/>
      <x:c r="T195" s="35" t="n">
        <x:v>9.6158781</x:v>
      </x:c>
      <x:c r="U195" s="35" t="n">
        <x:v>-13.6334738</x:v>
      </x:c>
      <x:c r="V195" s="33" t="str">
        <x:v>https://www.openstreetmap.org/node/9275056420</x:v>
      </x:c>
      <x:c r="W195" s="33" t="str">
        <x:v>node/9275056420</x:v>
      </x:c>
      <x:c r="X195" s="33" t="str">
        <x:v>review_required</x:v>
      </x:c>
      <x:c r="Y195" s="33" t="str">
        <x:v>classe a lounge|conakry</x:v>
      </x:c>
      <x:c r="Z195" s="33" t="str"/>
      <x:c r="AA195" s="33" t="str"/>
    </x:row>
    <x:row r="196">
      <x:c r="A196" s="30" t="str">
        <x:v>À vérifier</x:v>
      </x:c>
      <x:c r="B196" s="30" t="str"/>
      <x:c r="C196" s="31"/>
      <x:c r="D196" s="30" t="str">
        <x:v>Non vérifié</x:v>
      </x:c>
      <x:c r="E196" s="30" t="str"/>
      <x:c r="F196" s="30" t="str"/>
      <x:c r="G196" s="32" t="str"/>
      <x:c r="H196" s="33" t="str">
        <x:f>IF(I196&lt;&gt;"","Doublon possible","")</x:f>
        <x:v>Doublon possible</x:v>
      </x:c>
      <x:c r="I196" s="33" t="str">
        <x:f>IF(COUNTIFS($Y$9:$Y$678,Y196)&gt;1,"Nom + ville",IF(AND(Z196&lt;&gt;"",COUNTIFS($Z$9:$Z$678,Z196)&gt;1),"Téléphone",IF(AND(AA196&lt;&gt;"",COUNTIFS($AA$9:$AA$678,AA196)&gt;1),"Site web","")))</x:f>
        <x:v>Nom + ville</x:v>
      </x:c>
      <x:c r="J196" s="33" t="str">
        <x:v>Classe A lounge</x:v>
      </x:c>
      <x:c r="K196" s="33" t="str">
        <x:v>Divertissement / Entertainment</x:v>
      </x:c>
      <x:c r="L196" s="33" t="str">
        <x:v>Bars et lounges</x:v>
      </x:c>
      <x:c r="M196" s="33" t="str">
        <x:v>conakry</x:v>
      </x:c>
      <x:c r="N196" s="33" t="str"/>
      <x:c r="O196" s="33" t="str">
        <x:v>nongo J988+MG Conakry, Guinée</x:v>
      </x:c>
      <x:c r="P196" s="33" t="str"/>
      <x:c r="Q196" s="33" t="str"/>
      <x:c r="R196" s="33" t="str"/>
      <x:c r="S196" s="33" t="str"/>
      <x:c r="T196" s="35" t="n">
        <x:v>9.6162325</x:v>
      </x:c>
      <x:c r="U196" s="35" t="n">
        <x:v>-13.6337098</x:v>
      </x:c>
      <x:c r="V196" s="33" t="str">
        <x:v>https://www.openstreetmap.org/node/9275056421</x:v>
      </x:c>
      <x:c r="W196" s="33" t="str">
        <x:v>node/9275056421</x:v>
      </x:c>
      <x:c r="X196" s="33" t="str">
        <x:v>review_required</x:v>
      </x:c>
      <x:c r="Y196" s="33" t="str">
        <x:v>classe a lounge|conakry</x:v>
      </x:c>
      <x:c r="Z196" s="33" t="str"/>
      <x:c r="AA196" s="33" t="str"/>
    </x:row>
    <x:row r="197">
      <x:c r="A197" s="30" t="str">
        <x:v>À vérifier</x:v>
      </x:c>
      <x:c r="B197" s="30" t="str"/>
      <x:c r="C197" s="31"/>
      <x:c r="D197" s="30" t="str">
        <x:v>Non vérifié</x:v>
      </x:c>
      <x:c r="E197" s="30" t="str"/>
      <x:c r="F197" s="30" t="str"/>
      <x:c r="G197" s="32" t="str"/>
      <x:c r="H197" s="33" t="str">
        <x:f>IF(I197&lt;&gt;"","Doublon possible","")</x:f>
        <x:v>Doublon possible</x:v>
      </x:c>
      <x:c r="I197" s="33" t="str">
        <x:f>IF(COUNTIFS($Y$9:$Y$678,Y197)&gt;1,"Nom + ville",IF(AND(Z197&lt;&gt;"",COUNTIFS($Z$9:$Z$678,Z197)&gt;1),"Téléphone",IF(AND(AA197&lt;&gt;"",COUNTIFS($AA$9:$AA$678,AA197)&gt;1),"Site web","")))</x:f>
        <x:v>Nom + ville</x:v>
      </x:c>
      <x:c r="J197" s="33" t="str">
        <x:v>Classe A lounge</x:v>
      </x:c>
      <x:c r="K197" s="33" t="str">
        <x:v>Divertissement / Entertainment</x:v>
      </x:c>
      <x:c r="L197" s="33" t="str">
        <x:v>Bars et lounges</x:v>
      </x:c>
      <x:c r="M197" s="33" t="str">
        <x:v>conakry</x:v>
      </x:c>
      <x:c r="N197" s="33" t="str"/>
      <x:c r="O197" s="33" t="str">
        <x:v>nongo J988+MG Conakry, Guinée</x:v>
      </x:c>
      <x:c r="P197" s="33" t="str"/>
      <x:c r="Q197" s="33" t="str"/>
      <x:c r="R197" s="33" t="str"/>
      <x:c r="S197" s="33" t="str"/>
      <x:c r="T197" s="35" t="n">
        <x:v>9.6162483</x:v>
      </x:c>
      <x:c r="U197" s="35" t="n">
        <x:v>-13.6338225</x:v>
      </x:c>
      <x:c r="V197" s="33" t="str">
        <x:v>https://www.openstreetmap.org/node/9275056422</x:v>
      </x:c>
      <x:c r="W197" s="33" t="str">
        <x:v>node/9275056422</x:v>
      </x:c>
      <x:c r="X197" s="33" t="str">
        <x:v>review_required</x:v>
      </x:c>
      <x:c r="Y197" s="33" t="str">
        <x:v>classe a lounge|conakry</x:v>
      </x:c>
      <x:c r="Z197" s="33" t="str"/>
      <x:c r="AA197" s="33" t="str"/>
    </x:row>
    <x:row r="198">
      <x:c r="A198" s="30" t="str">
        <x:v>À vérifier</x:v>
      </x:c>
      <x:c r="B198" s="30" t="str"/>
      <x:c r="C198" s="31"/>
      <x:c r="D198" s="30" t="str">
        <x:v>Non vérifié</x:v>
      </x:c>
      <x:c r="E198" s="30" t="str"/>
      <x:c r="F198" s="30" t="str"/>
      <x:c r="G198" s="32" t="str"/>
      <x:c r="H198" s="33" t="str">
        <x:f>IF(I198&lt;&gt;"","Doublon possible","")</x:f>
        <x:v>Doublon possible</x:v>
      </x:c>
      <x:c r="I198" s="33" t="str">
        <x:f>IF(COUNTIFS($Y$9:$Y$678,Y198)&gt;1,"Nom + ville",IF(AND(Z198&lt;&gt;"",COUNTIFS($Z$9:$Z$678,Z198)&gt;1),"Téléphone",IF(AND(AA198&lt;&gt;"",COUNTIFS($AA$9:$AA$678,AA198)&gt;1),"Site web","")))</x:f>
        <x:v>Nom + ville</x:v>
      </x:c>
      <x:c r="J198" s="33" t="str">
        <x:v>Classe A lounge</x:v>
      </x:c>
      <x:c r="K198" s="33" t="str">
        <x:v>Divertissement / Entertainment</x:v>
      </x:c>
      <x:c r="L198" s="33" t="str">
        <x:v>Bars et lounges</x:v>
      </x:c>
      <x:c r="M198" s="33" t="str">
        <x:v>conakry</x:v>
      </x:c>
      <x:c r="N198" s="33" t="str"/>
      <x:c r="O198" s="33" t="str">
        <x:v>nongo J988+MG Conakry, Guinée</x:v>
      </x:c>
      <x:c r="P198" s="33" t="str"/>
      <x:c r="Q198" s="33" t="str"/>
      <x:c r="R198" s="33" t="str"/>
      <x:c r="S198" s="33" t="str"/>
      <x:c r="T198" s="35" t="n">
        <x:v>9.6165657</x:v>
      </x:c>
      <x:c r="U198" s="35" t="n">
        <x:v>-13.6337205</x:v>
      </x:c>
      <x:c r="V198" s="33" t="str">
        <x:v>https://www.openstreetmap.org/node/9275056423</x:v>
      </x:c>
      <x:c r="W198" s="33" t="str">
        <x:v>node/9275056423</x:v>
      </x:c>
      <x:c r="X198" s="33" t="str">
        <x:v>review_required</x:v>
      </x:c>
      <x:c r="Y198" s="33" t="str">
        <x:v>classe a lounge|conakry</x:v>
      </x:c>
      <x:c r="Z198" s="33" t="str"/>
      <x:c r="AA198" s="33" t="str"/>
    </x:row>
    <x:row r="199">
      <x:c r="A199" s="30" t="str">
        <x:v>À vérifier</x:v>
      </x:c>
      <x:c r="B199" s="30" t="str"/>
      <x:c r="C199" s="31"/>
      <x:c r="D199" s="30" t="str">
        <x:v>Non vérifié</x:v>
      </x:c>
      <x:c r="E199" s="30" t="str"/>
      <x:c r="F199" s="30" t="str"/>
      <x:c r="G199" s="32" t="str"/>
      <x:c r="H199" s="33" t="str">
        <x:f>IF(I199&lt;&gt;"","Doublon possible","")</x:f>
        <x:v>Doublon possible</x:v>
      </x:c>
      <x:c r="I199" s="33" t="str">
        <x:f>IF(COUNTIFS($Y$9:$Y$678,Y199)&gt;1,"Nom + ville",IF(AND(Z199&lt;&gt;"",COUNTIFS($Z$9:$Z$678,Z199)&gt;1),"Téléphone",IF(AND(AA199&lt;&gt;"",COUNTIFS($AA$9:$AA$678,AA199)&gt;1),"Site web","")))</x:f>
        <x:v>Nom + ville</x:v>
      </x:c>
      <x:c r="J199" s="33" t="str">
        <x:v>Classe A lounge</x:v>
      </x:c>
      <x:c r="K199" s="33" t="str">
        <x:v>Divertissement / Entertainment</x:v>
      </x:c>
      <x:c r="L199" s="33" t="str">
        <x:v>Bars et lounges</x:v>
      </x:c>
      <x:c r="M199" s="33" t="str">
        <x:v>conakry</x:v>
      </x:c>
      <x:c r="N199" s="33" t="str"/>
      <x:c r="O199" s="33" t="str">
        <x:v>nongo J988+MG Conakry, Guinée</x:v>
      </x:c>
      <x:c r="P199" s="33" t="str"/>
      <x:c r="Q199" s="33" t="str"/>
      <x:c r="R199" s="33" t="str"/>
      <x:c r="S199" s="33" t="str"/>
      <x:c r="T199" s="35" t="n">
        <x:v>9.6164863</x:v>
      </x:c>
      <x:c r="U199" s="35" t="n">
        <x:v>-13.6336991</x:v>
      </x:c>
      <x:c r="V199" s="33" t="str">
        <x:v>https://www.openstreetmap.org/node/9275056424</x:v>
      </x:c>
      <x:c r="W199" s="33" t="str">
        <x:v>node/9275056424</x:v>
      </x:c>
      <x:c r="X199" s="33" t="str">
        <x:v>review_required</x:v>
      </x:c>
      <x:c r="Y199" s="33" t="str">
        <x:v>classe a lounge|conakry</x:v>
      </x:c>
      <x:c r="Z199" s="33" t="str"/>
      <x:c r="AA199" s="33" t="str"/>
    </x:row>
    <x:row r="200">
      <x:c r="A200" s="30" t="str">
        <x:v>À vérifier</x:v>
      </x:c>
      <x:c r="B200" s="30" t="str"/>
      <x:c r="C200" s="31"/>
      <x:c r="D200" s="30" t="str">
        <x:v>Non vérifié</x:v>
      </x:c>
      <x:c r="E200" s="30" t="str"/>
      <x:c r="F200" s="30" t="str"/>
      <x:c r="G200" s="32" t="str"/>
      <x:c r="H200" s="33" t="str">
        <x:f>IF(I200&lt;&gt;"","Doublon possible","")</x:f>
        <x:v>Doublon possible</x:v>
      </x:c>
      <x:c r="I200" s="33" t="str">
        <x:f>IF(COUNTIFS($Y$9:$Y$678,Y200)&gt;1,"Nom + ville",IF(AND(Z200&lt;&gt;"",COUNTIFS($Z$9:$Z$678,Z200)&gt;1),"Téléphone",IF(AND(AA200&lt;&gt;"",COUNTIFS($AA$9:$AA$678,AA200)&gt;1),"Site web","")))</x:f>
        <x:v>Nom + ville</x:v>
      </x:c>
      <x:c r="J200" s="33" t="str">
        <x:v>Classe A lounge</x:v>
      </x:c>
      <x:c r="K200" s="33" t="str">
        <x:v>Divertissement / Entertainment</x:v>
      </x:c>
      <x:c r="L200" s="33" t="str">
        <x:v>Bars et lounges</x:v>
      </x:c>
      <x:c r="M200" s="33" t="str">
        <x:v>conakry</x:v>
      </x:c>
      <x:c r="N200" s="33" t="str"/>
      <x:c r="O200" s="33" t="str">
        <x:v>nongo J988+MG Conakry, Guinée</x:v>
      </x:c>
      <x:c r="P200" s="33" t="str"/>
      <x:c r="Q200" s="33" t="str"/>
      <x:c r="R200" s="33" t="str"/>
      <x:c r="S200" s="33" t="str"/>
      <x:c r="T200" s="35" t="n">
        <x:v>9.6161478</x:v>
      </x:c>
      <x:c r="U200" s="35" t="n">
        <x:v>-13.63386</x:v>
      </x:c>
      <x:c r="V200" s="33" t="str">
        <x:v>https://www.openstreetmap.org/node/9275056425</x:v>
      </x:c>
      <x:c r="W200" s="33" t="str">
        <x:v>node/9275056425</x:v>
      </x:c>
      <x:c r="X200" s="33" t="str">
        <x:v>review_required</x:v>
      </x:c>
      <x:c r="Y200" s="33" t="str">
        <x:v>classe a lounge|conakry</x:v>
      </x:c>
      <x:c r="Z200" s="33" t="str"/>
      <x:c r="AA200" s="33" t="str"/>
    </x:row>
    <x:row r="201">
      <x:c r="A201" s="30" t="str">
        <x:v>À vérifier</x:v>
      </x:c>
      <x:c r="B201" s="30" t="str"/>
      <x:c r="C201" s="31"/>
      <x:c r="D201" s="30" t="str">
        <x:v>Non vérifié</x:v>
      </x:c>
      <x:c r="E201" s="30" t="str"/>
      <x:c r="F201" s="30" t="str"/>
      <x:c r="G201" s="32" t="str"/>
      <x:c r="H201" s="33" t="str">
        <x:f>IF(I201&lt;&gt;"","Doublon possible","")</x:f>
        <x:v>Doublon possible</x:v>
      </x:c>
      <x:c r="I201" s="33" t="str">
        <x:f>IF(COUNTIFS($Y$9:$Y$678,Y201)&gt;1,"Nom + ville",IF(AND(Z201&lt;&gt;"",COUNTIFS($Z$9:$Z$678,Z201)&gt;1),"Téléphone",IF(AND(AA201&lt;&gt;"",COUNTIFS($AA$9:$AA$678,AA201)&gt;1),"Site web","")))</x:f>
        <x:v>Nom + ville</x:v>
      </x:c>
      <x:c r="J201" s="33" t="str">
        <x:v>Classe A lounge</x:v>
      </x:c>
      <x:c r="K201" s="33" t="str">
        <x:v>Divertissement / Entertainment</x:v>
      </x:c>
      <x:c r="L201" s="33" t="str">
        <x:v>Bars et lounges</x:v>
      </x:c>
      <x:c r="M201" s="33" t="str">
        <x:v>conakry</x:v>
      </x:c>
      <x:c r="N201" s="33" t="str"/>
      <x:c r="O201" s="33" t="str">
        <x:v>nongo J988+MG Conakry, Guinée</x:v>
      </x:c>
      <x:c r="P201" s="33" t="str"/>
      <x:c r="Q201" s="33" t="str"/>
      <x:c r="R201" s="33" t="str"/>
      <x:c r="S201" s="33" t="str"/>
      <x:c r="T201" s="35" t="n">
        <x:v>9.6160738</x:v>
      </x:c>
      <x:c r="U201" s="35" t="n">
        <x:v>-13.6339405</x:v>
      </x:c>
      <x:c r="V201" s="33" t="str">
        <x:v>https://www.openstreetmap.org/node/9275056426</x:v>
      </x:c>
      <x:c r="W201" s="33" t="str">
        <x:v>node/9275056426</x:v>
      </x:c>
      <x:c r="X201" s="33" t="str">
        <x:v>review_required</x:v>
      </x:c>
      <x:c r="Y201" s="33" t="str">
        <x:v>classe a lounge|conakry</x:v>
      </x:c>
      <x:c r="Z201" s="33" t="str"/>
      <x:c r="AA201" s="33" t="str"/>
    </x:row>
    <x:row r="202">
      <x:c r="A202" s="30" t="str">
        <x:v>À vérifier</x:v>
      </x:c>
      <x:c r="B202" s="30" t="str"/>
      <x:c r="C202" s="31"/>
      <x:c r="D202" s="30" t="str">
        <x:v>Non vérifié</x:v>
      </x:c>
      <x:c r="E202" s="30" t="str"/>
      <x:c r="F202" s="30" t="str"/>
      <x:c r="G202" s="32" t="str"/>
      <x:c r="H202" s="33" t="str">
        <x:f>IF(I202&lt;&gt;"","Doublon possible","")</x:f>
        <x:v>Doublon possible</x:v>
      </x:c>
      <x:c r="I202" s="33" t="str">
        <x:f>IF(COUNTIFS($Y$9:$Y$678,Y202)&gt;1,"Nom + ville",IF(AND(Z202&lt;&gt;"",COUNTIFS($Z$9:$Z$678,Z202)&gt;1),"Téléphone",IF(AND(AA202&lt;&gt;"",COUNTIFS($AA$9:$AA$678,AA202)&gt;1),"Site web","")))</x:f>
        <x:v>Nom + ville</x:v>
      </x:c>
      <x:c r="J202" s="33" t="str">
        <x:v>Classe A lounge</x:v>
      </x:c>
      <x:c r="K202" s="33" t="str">
        <x:v>Divertissement / Entertainment</x:v>
      </x:c>
      <x:c r="L202" s="33" t="str">
        <x:v>Bars et lounges</x:v>
      </x:c>
      <x:c r="M202" s="33" t="str">
        <x:v>conakry</x:v>
      </x:c>
      <x:c r="N202" s="33" t="str"/>
      <x:c r="O202" s="33" t="str">
        <x:v>nongo J988+MG Conakry, Guinée</x:v>
      </x:c>
      <x:c r="P202" s="33" t="str"/>
      <x:c r="Q202" s="33" t="str"/>
      <x:c r="R202" s="33" t="str"/>
      <x:c r="S202" s="33" t="str"/>
      <x:c r="T202" s="35" t="n">
        <x:v>9.6160262</x:v>
      </x:c>
      <x:c r="U202" s="35" t="n">
        <x:v>-13.6338171</x:v>
      </x:c>
      <x:c r="V202" s="33" t="str">
        <x:v>https://www.openstreetmap.org/node/9275056427</x:v>
      </x:c>
      <x:c r="W202" s="33" t="str">
        <x:v>node/9275056427</x:v>
      </x:c>
      <x:c r="X202" s="33" t="str">
        <x:v>review_required</x:v>
      </x:c>
      <x:c r="Y202" s="33" t="str">
        <x:v>classe a lounge|conakry</x:v>
      </x:c>
      <x:c r="Z202" s="33" t="str"/>
      <x:c r="AA202" s="33" t="str"/>
    </x:row>
    <x:row r="203">
      <x:c r="A203" s="30" t="str">
        <x:v>À vérifier</x:v>
      </x:c>
      <x:c r="B203" s="30" t="str"/>
      <x:c r="C203" s="31"/>
      <x:c r="D203" s="30" t="str">
        <x:v>Non vérifié</x:v>
      </x:c>
      <x:c r="E203" s="30" t="str"/>
      <x:c r="F203" s="30" t="str"/>
      <x:c r="G203" s="32" t="str"/>
      <x:c r="H203" s="33" t="str">
        <x:f>IF(I203&lt;&gt;"","Doublon possible","")</x:f>
        <x:v>Doublon possible</x:v>
      </x:c>
      <x:c r="I203" s="33" t="str">
        <x:f>IF(COUNTIFS($Y$9:$Y$678,Y203)&gt;1,"Nom + ville",IF(AND(Z203&lt;&gt;"",COUNTIFS($Z$9:$Z$678,Z203)&gt;1),"Téléphone",IF(AND(AA203&lt;&gt;"",COUNTIFS($AA$9:$AA$678,AA203)&gt;1),"Site web","")))</x:f>
        <x:v>Nom + ville</x:v>
      </x:c>
      <x:c r="J203" s="33" t="str">
        <x:v>Classe A lounge</x:v>
      </x:c>
      <x:c r="K203" s="33" t="str">
        <x:v>Divertissement / Entertainment</x:v>
      </x:c>
      <x:c r="L203" s="33" t="str">
        <x:v>Bars et lounges</x:v>
      </x:c>
      <x:c r="M203" s="33" t="str">
        <x:v>conakry</x:v>
      </x:c>
      <x:c r="N203" s="33" t="str"/>
      <x:c r="O203" s="33" t="str">
        <x:v>nongo J988+MG Conakry, Guinée</x:v>
      </x:c>
      <x:c r="P203" s="33" t="str"/>
      <x:c r="Q203" s="33" t="str"/>
      <x:c r="R203" s="33" t="str"/>
      <x:c r="S203" s="33" t="str"/>
      <x:c r="T203" s="35" t="n">
        <x:v>9.6159695</x:v>
      </x:c>
      <x:c r="U203" s="35" t="n">
        <x:v>-13.6337136</x:v>
      </x:c>
      <x:c r="V203" s="33" t="str">
        <x:v>https://www.openstreetmap.org/node/9275056428</x:v>
      </x:c>
      <x:c r="W203" s="33" t="str">
        <x:v>node/9275056428</x:v>
      </x:c>
      <x:c r="X203" s="33" t="str">
        <x:v>review_required</x:v>
      </x:c>
      <x:c r="Y203" s="33" t="str">
        <x:v>classe a lounge|conakry</x:v>
      </x:c>
      <x:c r="Z203" s="33" t="str"/>
      <x:c r="AA203" s="33" t="str"/>
    </x:row>
    <x:row r="204">
      <x:c r="A204" s="30" t="str">
        <x:v>À vérifier</x:v>
      </x:c>
      <x:c r="B204" s="30" t="str"/>
      <x:c r="C204" s="31"/>
      <x:c r="D204" s="30" t="str">
        <x:v>Non vérifié</x:v>
      </x:c>
      <x:c r="E204" s="30" t="str"/>
      <x:c r="F204" s="30" t="str"/>
      <x:c r="G204" s="32" t="str"/>
      <x:c r="H204" s="33" t="str">
        <x:f>IF(I204&lt;&gt;"","Doublon possible","")</x:f>
        <x:v>Doublon possible</x:v>
      </x:c>
      <x:c r="I204" s="33" t="str">
        <x:f>IF(COUNTIFS($Y$9:$Y$678,Y204)&gt;1,"Nom + ville",IF(AND(Z204&lt;&gt;"",COUNTIFS($Z$9:$Z$678,Z204)&gt;1),"Téléphone",IF(AND(AA204&lt;&gt;"",COUNTIFS($AA$9:$AA$678,AA204)&gt;1),"Site web","")))</x:f>
        <x:v>Nom + ville</x:v>
      </x:c>
      <x:c r="J204" s="33" t="str">
        <x:v>Classe A lounge</x:v>
      </x:c>
      <x:c r="K204" s="33" t="str">
        <x:v>Divertissement / Entertainment</x:v>
      </x:c>
      <x:c r="L204" s="33" t="str">
        <x:v>Bars et lounges</x:v>
      </x:c>
      <x:c r="M204" s="33" t="str">
        <x:v>conakry</x:v>
      </x:c>
      <x:c r="N204" s="33" t="str"/>
      <x:c r="O204" s="33" t="str">
        <x:v>nongo J988+MG Conakry, Guinée</x:v>
      </x:c>
      <x:c r="P204" s="33" t="str"/>
      <x:c r="Q204" s="33" t="str"/>
      <x:c r="R204" s="33" t="str"/>
      <x:c r="S204" s="33" t="str"/>
      <x:c r="T204" s="35" t="n">
        <x:v>9.6159257</x:v>
      </x:c>
      <x:c r="U204" s="35" t="n">
        <x:v>-13.6336025</x:v>
      </x:c>
      <x:c r="V204" s="33" t="str">
        <x:v>https://www.openstreetmap.org/node/9275056429</x:v>
      </x:c>
      <x:c r="W204" s="33" t="str">
        <x:v>node/9275056429</x:v>
      </x:c>
      <x:c r="X204" s="33" t="str">
        <x:v>review_required</x:v>
      </x:c>
      <x:c r="Y204" s="33" t="str">
        <x:v>classe a lounge|conakry</x:v>
      </x:c>
      <x:c r="Z204" s="33" t="str"/>
      <x:c r="AA204" s="33" t="str"/>
    </x:row>
    <x:row r="205">
      <x:c r="A205" s="30" t="str">
        <x:v>À vérifier</x:v>
      </x:c>
      <x:c r="B205" s="30" t="str"/>
      <x:c r="C205" s="31"/>
      <x:c r="D205" s="30" t="str">
        <x:v>Non vérifié</x:v>
      </x:c>
      <x:c r="E205" s="30" t="str"/>
      <x:c r="F205" s="30" t="str"/>
      <x:c r="G205" s="32" t="str"/>
      <x:c r="H205" s="33" t="str">
        <x:f>IF(I205&lt;&gt;"","Doublon possible","")</x:f>
        <x:v>Doublon possible</x:v>
      </x:c>
      <x:c r="I205" s="33" t="str">
        <x:f>IF(COUNTIFS($Y$9:$Y$678,Y205)&gt;1,"Nom + ville",IF(AND(Z205&lt;&gt;"",COUNTIFS($Z$9:$Z$678,Z205)&gt;1),"Téléphone",IF(AND(AA205&lt;&gt;"",COUNTIFS($AA$9:$AA$678,AA205)&gt;1),"Site web","")))</x:f>
        <x:v>Nom + ville</x:v>
      </x:c>
      <x:c r="J205" s="33" t="str">
        <x:v>Classe A lounge</x:v>
      </x:c>
      <x:c r="K205" s="33" t="str">
        <x:v>Divertissement / Entertainment</x:v>
      </x:c>
      <x:c r="L205" s="33" t="str">
        <x:v>Bars et lounges</x:v>
      </x:c>
      <x:c r="M205" s="33" t="str">
        <x:v>conakry</x:v>
      </x:c>
      <x:c r="N205" s="33" t="str"/>
      <x:c r="O205" s="33" t="str">
        <x:v>nongo J988+MG Conakry, Guinée</x:v>
      </x:c>
      <x:c r="P205" s="33" t="str"/>
      <x:c r="Q205" s="33" t="str"/>
      <x:c r="R205" s="33" t="str"/>
      <x:c r="S205" s="33" t="str"/>
      <x:c r="T205" s="35" t="n">
        <x:v>9.6161849</x:v>
      </x:c>
      <x:c r="U205" s="35" t="n">
        <x:v>-13.6335542</x:v>
      </x:c>
      <x:c r="V205" s="33" t="str">
        <x:v>https://www.openstreetmap.org/node/9275056430</x:v>
      </x:c>
      <x:c r="W205" s="33" t="str">
        <x:v>node/9275056430</x:v>
      </x:c>
      <x:c r="X205" s="33" t="str">
        <x:v>review_required</x:v>
      </x:c>
      <x:c r="Y205" s="33" t="str">
        <x:v>classe a lounge|conakry</x:v>
      </x:c>
      <x:c r="Z205" s="33" t="str"/>
      <x:c r="AA205" s="33" t="str"/>
    </x:row>
    <x:row r="206">
      <x:c r="A206" s="30" t="str">
        <x:v>À vérifier</x:v>
      </x:c>
      <x:c r="B206" s="30" t="str"/>
      <x:c r="C206" s="31"/>
      <x:c r="D206" s="30" t="str">
        <x:v>Non vérifié</x:v>
      </x:c>
      <x:c r="E206" s="30" t="str"/>
      <x:c r="F206" s="30" t="str"/>
      <x:c r="G206" s="32" t="str"/>
      <x:c r="H206" s="33" t="str">
        <x:f>IF(I206&lt;&gt;"","Doublon possible","")</x:f>
        <x:v>Doublon possible</x:v>
      </x:c>
      <x:c r="I206" s="33" t="str">
        <x:f>IF(COUNTIFS($Y$9:$Y$678,Y206)&gt;1,"Nom + ville",IF(AND(Z206&lt;&gt;"",COUNTIFS($Z$9:$Z$678,Z206)&gt;1),"Téléphone",IF(AND(AA206&lt;&gt;"",COUNTIFS($AA$9:$AA$678,AA206)&gt;1),"Site web","")))</x:f>
        <x:v>Nom + ville</x:v>
      </x:c>
      <x:c r="J206" s="33" t="str">
        <x:v>Classe A lounge</x:v>
      </x:c>
      <x:c r="K206" s="33" t="str">
        <x:v>Divertissement / Entertainment</x:v>
      </x:c>
      <x:c r="L206" s="33" t="str">
        <x:v>Bars et lounges</x:v>
      </x:c>
      <x:c r="M206" s="33" t="str">
        <x:v>conakry</x:v>
      </x:c>
      <x:c r="N206" s="33" t="str"/>
      <x:c r="O206" s="33" t="str">
        <x:v>nongo J988+MG Conakry, Guinée</x:v>
      </x:c>
      <x:c r="P206" s="33" t="str"/>
      <x:c r="Q206" s="33" t="str"/>
      <x:c r="R206" s="33" t="str"/>
      <x:c r="S206" s="33" t="str"/>
      <x:c r="T206" s="35" t="n">
        <x:v>9.6161584</x:v>
      </x:c>
      <x:c r="U206" s="35" t="n">
        <x:v>-13.6334255</x:v>
      </x:c>
      <x:c r="V206" s="33" t="str">
        <x:v>https://www.openstreetmap.org/node/9275056431</x:v>
      </x:c>
      <x:c r="W206" s="33" t="str">
        <x:v>node/9275056431</x:v>
      </x:c>
      <x:c r="X206" s="33" t="str">
        <x:v>review_required</x:v>
      </x:c>
      <x:c r="Y206" s="33" t="str">
        <x:v>classe a lounge|conakry</x:v>
      </x:c>
      <x:c r="Z206" s="33" t="str"/>
      <x:c r="AA206" s="33" t="str"/>
    </x:row>
    <x:row r="207">
      <x:c r="A207" s="30" t="str">
        <x:v>À vérifier</x:v>
      </x:c>
      <x:c r="B207" s="30" t="str"/>
      <x:c r="C207" s="31"/>
      <x:c r="D207" s="30" t="str">
        <x:v>Non vérifié</x:v>
      </x:c>
      <x:c r="E207" s="30" t="str"/>
      <x:c r="F207" s="30" t="str"/>
      <x:c r="G207" s="32" t="str"/>
      <x:c r="H207" s="33" t="str">
        <x:f>IF(I207&lt;&gt;"","Doublon possible","")</x:f>
        <x:v>Doublon possible</x:v>
      </x:c>
      <x:c r="I207" s="33" t="str">
        <x:f>IF(COUNTIFS($Y$9:$Y$678,Y207)&gt;1,"Nom + ville",IF(AND(Z207&lt;&gt;"",COUNTIFS($Z$9:$Z$678,Z207)&gt;1),"Téléphone",IF(AND(AA207&lt;&gt;"",COUNTIFS($AA$9:$AA$678,AA207)&gt;1),"Site web","")))</x:f>
        <x:v>Nom + ville</x:v>
      </x:c>
      <x:c r="J207" s="33" t="str">
        <x:v>Classe A lounge</x:v>
      </x:c>
      <x:c r="K207" s="33" t="str">
        <x:v>Divertissement / Entertainment</x:v>
      </x:c>
      <x:c r="L207" s="33" t="str">
        <x:v>Bars et lounges</x:v>
      </x:c>
      <x:c r="M207" s="33" t="str">
        <x:v>conakry</x:v>
      </x:c>
      <x:c r="N207" s="33" t="str"/>
      <x:c r="O207" s="33" t="str">
        <x:v>nongo J988+MG Conakry, Guinée</x:v>
      </x:c>
      <x:c r="P207" s="33" t="str"/>
      <x:c r="Q207" s="33" t="str"/>
      <x:c r="R207" s="33" t="str"/>
      <x:c r="S207" s="33" t="str"/>
      <x:c r="T207" s="35" t="n">
        <x:v>9.6160632</x:v>
      </x:c>
      <x:c r="U207" s="35" t="n">
        <x:v>-13.633506</x:v>
      </x:c>
      <x:c r="V207" s="33" t="str">
        <x:v>https://www.openstreetmap.org/node/9275056432</x:v>
      </x:c>
      <x:c r="W207" s="33" t="str">
        <x:v>node/9275056432</x:v>
      </x:c>
      <x:c r="X207" s="33" t="str">
        <x:v>review_required</x:v>
      </x:c>
      <x:c r="Y207" s="33" t="str">
        <x:v>classe a lounge|conakry</x:v>
      </x:c>
      <x:c r="Z207" s="33" t="str"/>
      <x:c r="AA207" s="33" t="str"/>
    </x:row>
    <x:row r="208">
      <x:c r="A208" s="30" t="str">
        <x:v>À vérifier</x:v>
      </x:c>
      <x:c r="B208" s="30" t="str"/>
      <x:c r="C208" s="31"/>
      <x:c r="D208" s="30" t="str">
        <x:v>Non vérifié</x:v>
      </x:c>
      <x:c r="E208" s="30" t="str"/>
      <x:c r="F208" s="30" t="str"/>
      <x:c r="G208" s="32" t="str"/>
      <x:c r="H208" s="33" t="str">
        <x:f>IF(I208&lt;&gt;"","Doublon possible","")</x:f>
        <x:v>Doublon possible</x:v>
      </x:c>
      <x:c r="I208" s="33" t="str">
        <x:f>IF(COUNTIFS($Y$9:$Y$678,Y208)&gt;1,"Nom + ville",IF(AND(Z208&lt;&gt;"",COUNTIFS($Z$9:$Z$678,Z208)&gt;1),"Téléphone",IF(AND(AA208&lt;&gt;"",COUNTIFS($AA$9:$AA$678,AA208)&gt;1),"Site web","")))</x:f>
        <x:v>Nom + ville</x:v>
      </x:c>
      <x:c r="J208" s="33" t="str">
        <x:v>Classe A lounge</x:v>
      </x:c>
      <x:c r="K208" s="33" t="str">
        <x:v>Divertissement / Entertainment</x:v>
      </x:c>
      <x:c r="L208" s="33" t="str">
        <x:v>Bars et lounges</x:v>
      </x:c>
      <x:c r="M208" s="33" t="str">
        <x:v>conakry</x:v>
      </x:c>
      <x:c r="N208" s="33" t="str"/>
      <x:c r="O208" s="33" t="str">
        <x:v>nongo J988+MG Conakry, Guinée</x:v>
      </x:c>
      <x:c r="P208" s="33" t="str"/>
      <x:c r="Q208" s="33" t="str"/>
      <x:c r="R208" s="33" t="str"/>
      <x:c r="S208" s="33" t="str"/>
      <x:c r="T208" s="35" t="n">
        <x:v>9.6161267</x:v>
      </x:c>
      <x:c r="U208" s="35" t="n">
        <x:v>-13.6336508</x:v>
      </x:c>
      <x:c r="V208" s="33" t="str">
        <x:v>https://www.openstreetmap.org/node/9275056433</x:v>
      </x:c>
      <x:c r="W208" s="33" t="str">
        <x:v>node/9275056433</x:v>
      </x:c>
      <x:c r="X208" s="33" t="str">
        <x:v>review_required</x:v>
      </x:c>
      <x:c r="Y208" s="33" t="str">
        <x:v>classe a lounge|conakry</x:v>
      </x:c>
      <x:c r="Z208" s="33" t="str"/>
      <x:c r="AA208" s="33" t="str"/>
    </x:row>
    <x:row r="209">
      <x:c r="A209" s="30" t="str">
        <x:v>À vérifier</x:v>
      </x:c>
      <x:c r="B209" s="30" t="str"/>
      <x:c r="C209" s="31"/>
      <x:c r="D209" s="30" t="str">
        <x:v>Non vérifié</x:v>
      </x:c>
      <x:c r="E209" s="30" t="str"/>
      <x:c r="F209" s="30" t="str"/>
      <x:c r="G209" s="32" t="str"/>
      <x:c r="H209" s="33" t="str">
        <x:f>IF(I209&lt;&gt;"","Doublon possible","")</x:f>
        <x:v>Doublon possible</x:v>
      </x:c>
      <x:c r="I209" s="33" t="str">
        <x:f>IF(COUNTIFS($Y$9:$Y$678,Y209)&gt;1,"Nom + ville",IF(AND(Z209&lt;&gt;"",COUNTIFS($Z$9:$Z$678,Z209)&gt;1),"Téléphone",IF(AND(AA209&lt;&gt;"",COUNTIFS($AA$9:$AA$678,AA209)&gt;1),"Site web","")))</x:f>
        <x:v>Nom + ville</x:v>
      </x:c>
      <x:c r="J209" s="33" t="str">
        <x:v>Classe A lounge</x:v>
      </x:c>
      <x:c r="K209" s="33" t="str">
        <x:v>Divertissement / Entertainment</x:v>
      </x:c>
      <x:c r="L209" s="33" t="str">
        <x:v>Bars et lounges</x:v>
      </x:c>
      <x:c r="M209" s="33" t="str">
        <x:v>conakry</x:v>
      </x:c>
      <x:c r="N209" s="33" t="str"/>
      <x:c r="O209" s="33" t="str">
        <x:v>nongo J988+MG Conakry, Guinée</x:v>
      </x:c>
      <x:c r="P209" s="33" t="str"/>
      <x:c r="Q209" s="33" t="str"/>
      <x:c r="R209" s="33" t="str"/>
      <x:c r="S209" s="33" t="str"/>
      <x:c r="T209" s="35" t="n">
        <x:v>9.6161425</x:v>
      </x:c>
      <x:c r="U209" s="35" t="n">
        <x:v>-13.6337527</x:v>
      </x:c>
      <x:c r="V209" s="33" t="str">
        <x:v>https://www.openstreetmap.org/node/9275056434</x:v>
      </x:c>
      <x:c r="W209" s="33" t="str">
        <x:v>node/9275056434</x:v>
      </x:c>
      <x:c r="X209" s="33" t="str">
        <x:v>review_required</x:v>
      </x:c>
      <x:c r="Y209" s="33" t="str">
        <x:v>classe a lounge|conakry</x:v>
      </x:c>
      <x:c r="Z209" s="33" t="str"/>
      <x:c r="AA209" s="33" t="str"/>
    </x:row>
    <x:row r="210">
      <x:c r="A210" s="30" t="str">
        <x:v>À vérifier</x:v>
      </x:c>
      <x:c r="B210" s="30" t="str"/>
      <x:c r="C210" s="31"/>
      <x:c r="D210" s="30" t="str">
        <x:v>Non vérifié</x:v>
      </x:c>
      <x:c r="E210" s="30" t="str"/>
      <x:c r="F210" s="30" t="str"/>
      <x:c r="G210" s="32" t="str"/>
      <x:c r="H210" s="33" t="str">
        <x:f>IF(I210&lt;&gt;"","Doublon possible","")</x:f>
        <x:v>Doublon possible</x:v>
      </x:c>
      <x:c r="I210" s="33" t="str">
        <x:f>IF(COUNTIFS($Y$9:$Y$678,Y210)&gt;1,"Nom + ville",IF(AND(Z210&lt;&gt;"",COUNTIFS($Z$9:$Z$678,Z210)&gt;1),"Téléphone",IF(AND(AA210&lt;&gt;"",COUNTIFS($AA$9:$AA$678,AA210)&gt;1),"Site web","")))</x:f>
        <x:v>Nom + ville</x:v>
      </x:c>
      <x:c r="J210" s="33" t="str">
        <x:v>Classe A lounge</x:v>
      </x:c>
      <x:c r="K210" s="33" t="str">
        <x:v>Divertissement / Entertainment</x:v>
      </x:c>
      <x:c r="L210" s="33" t="str">
        <x:v>Bars et lounges</x:v>
      </x:c>
      <x:c r="M210" s="33" t="str">
        <x:v>conakry</x:v>
      </x:c>
      <x:c r="N210" s="33" t="str"/>
      <x:c r="O210" s="33" t="str">
        <x:v>nongo J988+MG Conakry, Guinée</x:v>
      </x:c>
      <x:c r="P210" s="33" t="str"/>
      <x:c r="Q210" s="33" t="str"/>
      <x:c r="R210" s="33" t="str"/>
      <x:c r="S210" s="33" t="str"/>
      <x:c r="T210" s="35" t="n">
        <x:v>9.6163488</x:v>
      </x:c>
      <x:c r="U210" s="35" t="n">
        <x:v>-13.6335811</x:v>
      </x:c>
      <x:c r="V210" s="33" t="str">
        <x:v>https://www.openstreetmap.org/node/9275056435</x:v>
      </x:c>
      <x:c r="W210" s="33" t="str">
        <x:v>node/9275056435</x:v>
      </x:c>
      <x:c r="X210" s="33" t="str">
        <x:v>review_required</x:v>
      </x:c>
      <x:c r="Y210" s="33" t="str">
        <x:v>classe a lounge|conakry</x:v>
      </x:c>
      <x:c r="Z210" s="33" t="str"/>
      <x:c r="AA210" s="33" t="str"/>
    </x:row>
    <x:row r="211">
      <x:c r="A211" s="30" t="str">
        <x:v>À vérifier</x:v>
      </x:c>
      <x:c r="B211" s="30" t="str"/>
      <x:c r="C211" s="31"/>
      <x:c r="D211" s="30" t="str">
        <x:v>Non vérifié</x:v>
      </x:c>
      <x:c r="E211" s="30" t="str"/>
      <x:c r="F211" s="30" t="str"/>
      <x:c r="G211" s="32" t="str"/>
      <x:c r="H211" s="33" t="str">
        <x:f>IF(I211&lt;&gt;"","Doublon possible","")</x:f>
      </x:c>
      <x:c r="I211" s="33" t="str">
        <x:f>IF(COUNTIFS($Y$9:$Y$678,Y211)&gt;1,"Nom + ville",IF(AND(Z211&lt;&gt;"",COUNTIFS($Z$9:$Z$678,Z211)&gt;1),"Téléphone",IF(AND(AA211&lt;&gt;"",COUNTIFS($AA$9:$AA$678,AA211)&gt;1),"Site web","")))</x:f>
      </x:c>
      <x:c r="J211" s="33" t="str">
        <x:v>Classico Américain bar</x:v>
      </x:c>
      <x:c r="K211" s="33" t="str">
        <x:v>Divertissement / Entertainment</x:v>
      </x:c>
      <x:c r="L211" s="33" t="str">
        <x:v>Bars et lounges</x:v>
      </x:c>
      <x:c r="M211" s="33" t="str">
        <x:v>Conakry (à vérifier)</x:v>
      </x:c>
      <x:c r="N211" s="33" t="str"/>
      <x:c r="O211" s="33" t="str"/>
      <x:c r="P211" s="33" t="str">
        <x:v>+224623963823</x:v>
      </x:c>
      <x:c r="Q211" s="33" t="str"/>
      <x:c r="R211" s="33" t="str"/>
      <x:c r="S211" s="33" t="str"/>
      <x:c r="T211" s="35" t="n">
        <x:v>9.6372772</x:v>
      </x:c>
      <x:c r="U211" s="35" t="n">
        <x:v>-13.6147873</x:v>
      </x:c>
      <x:c r="V211" s="33" t="str">
        <x:v>https://www.openstreetmap.org/node/6044920109</x:v>
      </x:c>
      <x:c r="W211" s="33" t="str">
        <x:v>node/6044920109</x:v>
      </x:c>
      <x:c r="X211" s="33" t="str">
        <x:v>review_required</x:v>
      </x:c>
      <x:c r="Y211" s="33" t="str">
        <x:v>classico americain bar|conakry a verifier</x:v>
      </x:c>
      <x:c r="Z211" s="33" t="str">
        <x:v>224623963823</x:v>
      </x:c>
      <x:c r="AA211" s="33" t="str"/>
    </x:row>
    <x:row r="212">
      <x:c r="A212" s="30" t="str">
        <x:v>À vérifier</x:v>
      </x:c>
      <x:c r="B212" s="30" t="str"/>
      <x:c r="C212" s="31"/>
      <x:c r="D212" s="30" t="str">
        <x:v>Non vérifié</x:v>
      </x:c>
      <x:c r="E212" s="30" t="str"/>
      <x:c r="F212" s="30" t="str"/>
      <x:c r="G212" s="32" t="str"/>
      <x:c r="H212" s="33" t="str">
        <x:f>IF(I212&lt;&gt;"","Doublon possible","")</x:f>
      </x:c>
      <x:c r="I212" s="33" t="str">
        <x:f>IF(COUNTIFS($Y$9:$Y$678,Y212)&gt;1,"Nom + ville",IF(AND(Z212&lt;&gt;"",COUNTIFS($Z$9:$Z$678,Z212)&gt;1),"Téléphone",IF(AND(AA212&lt;&gt;"",COUNTIFS($AA$9:$AA$678,AA212)&gt;1),"Site web","")))</x:f>
      </x:c>
      <x:c r="J212" s="33" t="str">
        <x:v>Conakry Club</x:v>
      </x:c>
      <x:c r="K212" s="33" t="str">
        <x:v>Divertissement / Entertainment</x:v>
      </x:c>
      <x:c r="L212" s="33" t="str">
        <x:v>Discothèques et clubs</x:v>
      </x:c>
      <x:c r="M212" s="33" t="str">
        <x:v>Conakry (à vérifier)</x:v>
      </x:c>
      <x:c r="N212" s="33" t="str"/>
      <x:c r="O212" s="33" t="str"/>
      <x:c r="P212" s="33" t="str">
        <x:v>623886378</x:v>
      </x:c>
      <x:c r="Q212" s="33" t="str"/>
      <x:c r="R212" s="33" t="str"/>
      <x:c r="S212" s="33" t="str"/>
      <x:c r="T212" s="35" t="n">
        <x:v>9.5688376</x:v>
      </x:c>
      <x:c r="U212" s="35" t="n">
        <x:v>-13.6621082</x:v>
      </x:c>
      <x:c r="V212" s="33" t="str">
        <x:v>https://www.openstreetmap.org/node/5438439247</x:v>
      </x:c>
      <x:c r="W212" s="33" t="str">
        <x:v>node/5438439247</x:v>
      </x:c>
      <x:c r="X212" s="33" t="str">
        <x:v>review_required</x:v>
      </x:c>
      <x:c r="Y212" s="33" t="str">
        <x:v>conakry club|conakry a verifier</x:v>
      </x:c>
      <x:c r="Z212" s="33" t="str">
        <x:v>224623886378</x:v>
      </x:c>
      <x:c r="AA212" s="33" t="str"/>
    </x:row>
    <x:row r="213">
      <x:c r="A213" s="30" t="str">
        <x:v>À vérifier</x:v>
      </x:c>
      <x:c r="B213" s="30" t="str"/>
      <x:c r="C213" s="31"/>
      <x:c r="D213" s="30" t="str">
        <x:v>Non vérifié</x:v>
      </x:c>
      <x:c r="E213" s="30" t="str"/>
      <x:c r="F213" s="30" t="str"/>
      <x:c r="G213" s="32" t="str"/>
      <x:c r="H213" s="33" t="str">
        <x:f>IF(I213&lt;&gt;"","Doublon possible","")</x:f>
      </x:c>
      <x:c r="I213" s="33" t="str">
        <x:f>IF(COUNTIFS($Y$9:$Y$678,Y213)&gt;1,"Nom + ville",IF(AND(Z213&lt;&gt;"",COUNTIFS($Z$9:$Z$678,Z213)&gt;1),"Téléphone",IF(AND(AA213&lt;&gt;"",COUNTIFS($AA$9:$AA$678,AA213)&gt;1),"Site web","")))</x:f>
      </x:c>
      <x:c r="J213" s="33" t="str">
        <x:v>Dinasty Lounge</x:v>
      </x:c>
      <x:c r="K213" s="33" t="str">
        <x:v>Divertissement / Entertainment</x:v>
      </x:c>
      <x:c r="L213" s="33" t="str">
        <x:v>Bars et lounges</x:v>
      </x:c>
      <x:c r="M213" s="33" t="str">
        <x:v>Conakry (à vérifier)</x:v>
      </x:c>
      <x:c r="N213" s="33" t="str"/>
      <x:c r="O213" s="33" t="str">
        <x:v>Dinasty Lounge, J942+7GJ, Unnamed Road, Conakry, Guinée</x:v>
      </x:c>
      <x:c r="P213" s="33" t="str"/>
      <x:c r="Q213" s="33" t="str"/>
      <x:c r="R213" s="33" t="str"/>
      <x:c r="S213" s="33" t="str"/>
      <x:c r="T213" s="35" t="n">
        <x:v>9.6057349</x:v>
      </x:c>
      <x:c r="U213" s="35" t="n">
        <x:v>-13.6487963</x:v>
      </x:c>
      <x:c r="V213" s="33" t="str">
        <x:v>https://www.openstreetmap.org/node/12700473941</x:v>
      </x:c>
      <x:c r="W213" s="33" t="str">
        <x:v>node/12700473941</x:v>
      </x:c>
      <x:c r="X213" s="33" t="str">
        <x:v>review_required</x:v>
      </x:c>
      <x:c r="Y213" s="33" t="str">
        <x:v>dinasty lounge|conakry a verifier</x:v>
      </x:c>
      <x:c r="Z213" s="33" t="str"/>
      <x:c r="AA213" s="33" t="str"/>
    </x:row>
    <x:row r="214">
      <x:c r="A214" s="30" t="str">
        <x:v>À vérifier</x:v>
      </x:c>
      <x:c r="B214" s="30" t="str"/>
      <x:c r="C214" s="31"/>
      <x:c r="D214" s="30" t="str">
        <x:v>Non vérifié</x:v>
      </x:c>
      <x:c r="E214" s="30" t="str"/>
      <x:c r="F214" s="30" t="str"/>
      <x:c r="G214" s="32" t="str"/>
      <x:c r="H214" s="33" t="str">
        <x:f>IF(I214&lt;&gt;"","Doublon possible","")</x:f>
      </x:c>
      <x:c r="I214" s="33" t="str">
        <x:f>IF(COUNTIFS($Y$9:$Y$678,Y214)&gt;1,"Nom + ville",IF(AND(Z214&lt;&gt;"",COUNTIFS($Z$9:$Z$678,Z214)&gt;1),"Téléphone",IF(AND(AA214&lt;&gt;"",COUNTIFS($AA$9:$AA$678,AA214)&gt;1),"Site web","")))</x:f>
      </x:c>
      <x:c r="J214" s="33" t="str">
        <x:v>Dépot Nostalgie</x:v>
      </x:c>
      <x:c r="K214" s="33" t="str">
        <x:v>Divertissement / Entertainment</x:v>
      </x:c>
      <x:c r="L214" s="33" t="str">
        <x:v>Bars et lounges</x:v>
      </x:c>
      <x:c r="M214" s="33" t="str">
        <x:v>Conakry (à vérifier)</x:v>
      </x:c>
      <x:c r="N214" s="33" t="str"/>
      <x:c r="O214" s="33" t="str">
        <x:v>T3</x:v>
      </x:c>
      <x:c r="P214" s="33" t="str"/>
      <x:c r="Q214" s="33" t="str"/>
      <x:c r="R214" s="33" t="str"/>
      <x:c r="S214" s="33" t="str"/>
      <x:c r="T214" s="35" t="n">
        <x:v>9.6253429</x:v>
      </x:c>
      <x:c r="U214" s="35" t="n">
        <x:v>-13.6342357</x:v>
      </x:c>
      <x:c r="V214" s="33" t="str">
        <x:v>https://www.openstreetmap.org/node/5299456771</x:v>
      </x:c>
      <x:c r="W214" s="33" t="str">
        <x:v>node/5299456771</x:v>
      </x:c>
      <x:c r="X214" s="33" t="str">
        <x:v>review_required</x:v>
      </x:c>
      <x:c r="Y214" s="33" t="str">
        <x:v>depot nostalgie|conakry a verifier</x:v>
      </x:c>
      <x:c r="Z214" s="33" t="str"/>
      <x:c r="AA214" s="33" t="str"/>
    </x:row>
    <x:row r="215">
      <x:c r="A215" s="30" t="str">
        <x:v>À vérifier</x:v>
      </x:c>
      <x:c r="B215" s="30" t="str"/>
      <x:c r="C215" s="31"/>
      <x:c r="D215" s="30" t="str">
        <x:v>Non vérifié</x:v>
      </x:c>
      <x:c r="E215" s="30" t="str"/>
      <x:c r="F215" s="30" t="str"/>
      <x:c r="G215" s="32" t="str"/>
      <x:c r="H215" s="33" t="str">
        <x:f>IF(I215&lt;&gt;"","Doublon possible","")</x:f>
      </x:c>
      <x:c r="I215" s="33" t="str">
        <x:f>IF(COUNTIFS($Y$9:$Y$678,Y215)&gt;1,"Nom + ville",IF(AND(Z215&lt;&gt;"",COUNTIFS($Z$9:$Z$678,Z215)&gt;1),"Téléphone",IF(AND(AA215&lt;&gt;"",COUNTIFS($AA$9:$AA$678,AA215)&gt;1),"Site web","")))</x:f>
      </x:c>
      <x:c r="J215" s="33" t="str">
        <x:v>le Gabou plus</x:v>
      </x:c>
      <x:c r="K215" s="33" t="str">
        <x:v>Divertissement / Entertainment</x:v>
      </x:c>
      <x:c r="L215" s="33" t="str">
        <x:v>Discothèques et clubs</x:v>
      </x:c>
      <x:c r="M215" s="33" t="str">
        <x:v>Conakry (à vérifier)</x:v>
      </x:c>
      <x:c r="N215" s="33" t="str"/>
      <x:c r="O215" s="33" t="str">
        <x:v>270 Rue DI.826</x:v>
      </x:c>
      <x:c r="P215" s="33" t="str">
        <x:v>621267036</x:v>
      </x:c>
      <x:c r="Q215" s="33" t="str"/>
      <x:c r="R215" s="33" t="str"/>
      <x:c r="S215" s="33" t="str"/>
      <x:c r="T215" s="35" t="n">
        <x:v>9.5685413</x:v>
      </x:c>
      <x:c r="U215" s="35" t="n">
        <x:v>-13.6614395</x:v>
      </x:c>
      <x:c r="V215" s="33" t="str">
        <x:v>https://www.openstreetmap.org/node/5438439330</x:v>
      </x:c>
      <x:c r="W215" s="33" t="str">
        <x:v>node/5438439330</x:v>
      </x:c>
      <x:c r="X215" s="33" t="str">
        <x:v>review_required</x:v>
      </x:c>
      <x:c r="Y215" s="33" t="str">
        <x:v>le gabou plus|conakry a verifier</x:v>
      </x:c>
      <x:c r="Z215" s="33" t="str">
        <x:v>224621267036</x:v>
      </x:c>
      <x:c r="AA215" s="33" t="str"/>
    </x:row>
    <x:row r="216">
      <x:c r="A216" s="30" t="str">
        <x:v>À vérifier</x:v>
      </x:c>
      <x:c r="B216" s="30" t="str"/>
      <x:c r="C216" s="31"/>
      <x:c r="D216" s="30" t="str">
        <x:v>Non vérifié</x:v>
      </x:c>
      <x:c r="E216" s="30" t="str"/>
      <x:c r="F216" s="30" t="str"/>
      <x:c r="G216" s="32" t="str"/>
      <x:c r="H216" s="33" t="str">
        <x:f>IF(I216&lt;&gt;"","Doublon possible","")</x:f>
      </x:c>
      <x:c r="I216" s="33" t="str">
        <x:f>IF(COUNTIFS($Y$9:$Y$678,Y216)&gt;1,"Nom + ville",IF(AND(Z216&lt;&gt;"",COUNTIFS($Z$9:$Z$678,Z216)&gt;1),"Téléphone",IF(AND(AA216&lt;&gt;"",COUNTIFS($AA$9:$AA$678,AA216)&gt;1),"Site web","")))</x:f>
      </x:c>
      <x:c r="J216" s="33" t="str">
        <x:v>les Studios Kira</x:v>
      </x:c>
      <x:c r="K216" s="33" t="str">
        <x:v>Divertissement / Entertainment</x:v>
      </x:c>
      <x:c r="L216" s="33" t="str">
        <x:v>Centres de loisirs</x:v>
      </x:c>
      <x:c r="M216" s="33" t="str">
        <x:v>Conakry (à vérifier)</x:v>
      </x:c>
      <x:c r="N216" s="33" t="str"/>
      <x:c r="O216" s="33" t="str">
        <x:v>312 Rue DI 826</x:v>
      </x:c>
      <x:c r="P216" s="33" t="str"/>
      <x:c r="Q216" s="33" t="str"/>
      <x:c r="R216" s="33" t="str"/>
      <x:c r="S216" s="33" t="str"/>
      <x:c r="T216" s="35" t="n">
        <x:v>9.5685718</x:v>
      </x:c>
      <x:c r="U216" s="35" t="n">
        <x:v>-13.6610135</x:v>
      </x:c>
      <x:c r="V216" s="33" t="str">
        <x:v>https://www.openstreetmap.org/way/566735895</x:v>
      </x:c>
      <x:c r="W216" s="33" t="str">
        <x:v>way/566735895</x:v>
      </x:c>
      <x:c r="X216" s="33" t="str">
        <x:v>review_required</x:v>
      </x:c>
      <x:c r="Y216" s="33" t="str">
        <x:v>les studios kira|conakry a verifier</x:v>
      </x:c>
      <x:c r="Z216" s="33" t="str"/>
      <x:c r="AA216" s="33" t="str"/>
    </x:row>
    <x:row r="217">
      <x:c r="A217" s="30" t="str">
        <x:v>À vérifier</x:v>
      </x:c>
      <x:c r="B217" s="30" t="str"/>
      <x:c r="C217" s="31"/>
      <x:c r="D217" s="30" t="str">
        <x:v>Non vérifié</x:v>
      </x:c>
      <x:c r="E217" s="30" t="str"/>
      <x:c r="F217" s="30" t="str"/>
      <x:c r="G217" s="32" t="str"/>
      <x:c r="H217" s="33" t="str">
        <x:f>IF(I217&lt;&gt;"","Doublon possible","")</x:f>
      </x:c>
      <x:c r="I217" s="33" t="str">
        <x:f>IF(COUNTIFS($Y$9:$Y$678,Y217)&gt;1,"Nom + ville",IF(AND(Z217&lt;&gt;"",COUNTIFS($Z$9:$Z$678,Z217)&gt;1),"Téléphone",IF(AND(AA217&lt;&gt;"",COUNTIFS($AA$9:$AA$678,AA217)&gt;1),"Site web","")))</x:f>
      </x:c>
      <x:c r="J217" s="33" t="str">
        <x:v>MLS Lounge Bar</x:v>
      </x:c>
      <x:c r="K217" s="33" t="str">
        <x:v>Divertissement / Entertainment</x:v>
      </x:c>
      <x:c r="L217" s="33" t="str">
        <x:v>Discothèques et clubs</x:v>
      </x:c>
      <x:c r="M217" s="33" t="str">
        <x:v>Conakry (à vérifier)</x:v>
      </x:c>
      <x:c r="N217" s="33" t="str"/>
      <x:c r="O217" s="33" t="str"/>
      <x:c r="P217" s="33" t="str">
        <x:v>00224 620062149</x:v>
      </x:c>
      <x:c r="Q217" s="33" t="str"/>
      <x:c r="R217" s="33" t="str"/>
      <x:c r="S217" s="33" t="str"/>
      <x:c r="T217" s="35" t="n">
        <x:v>9.5242761</x:v>
      </x:c>
      <x:c r="U217" s="35" t="n">
        <x:v>-13.6884874</x:v>
      </x:c>
      <x:c r="V217" s="33" t="str">
        <x:v>https://www.openstreetmap.org/way/584328935</x:v>
      </x:c>
      <x:c r="W217" s="33" t="str">
        <x:v>way/584328935</x:v>
      </x:c>
      <x:c r="X217" s="33" t="str">
        <x:v>review_required</x:v>
      </x:c>
      <x:c r="Y217" s="33" t="str">
        <x:v>mls lounge bar|conakry a verifier</x:v>
      </x:c>
      <x:c r="Z217" s="33" t="str">
        <x:v>224620062149</x:v>
      </x:c>
      <x:c r="AA217" s="33" t="str"/>
    </x:row>
    <x:row r="218">
      <x:c r="A218" s="30" t="str">
        <x:v>À vérifier</x:v>
      </x:c>
      <x:c r="B218" s="30" t="str"/>
      <x:c r="C218" s="31"/>
      <x:c r="D218" s="30" t="str">
        <x:v>Non vérifié</x:v>
      </x:c>
      <x:c r="E218" s="30" t="str"/>
      <x:c r="F218" s="30" t="str"/>
      <x:c r="G218" s="32" t="str"/>
      <x:c r="H218" s="33" t="str">
        <x:f>IF(I218&lt;&gt;"","Doublon possible","")</x:f>
      </x:c>
      <x:c r="I218" s="33" t="str">
        <x:f>IF(COUNTIFS($Y$9:$Y$678,Y218)&gt;1,"Nom + ville",IF(AND(Z218&lt;&gt;"",COUNTIFS($Z$9:$Z$678,Z218)&gt;1),"Téléphone",IF(AND(AA218&lt;&gt;"",COUNTIFS($AA$9:$AA$678,AA218)&gt;1),"Site web","")))</x:f>
      </x:c>
      <x:c r="J218" s="33" t="str">
        <x:v>One Lounge Conakry</x:v>
      </x:c>
      <x:c r="K218" s="33" t="str">
        <x:v>Divertissement / Entertainment</x:v>
      </x:c>
      <x:c r="L218" s="33" t="str">
        <x:v>Bars et lounges</x:v>
      </x:c>
      <x:c r="M218" s="33" t="str">
        <x:v>Conakry</x:v>
      </x:c>
      <x:c r="N218" s="33" t="str"/>
      <x:c r="O218" s="33" t="str">
        <x:v>Rue RO. 124</x:v>
      </x:c>
      <x:c r="P218" s="33" t="str"/>
      <x:c r="Q218" s="33" t="str"/>
      <x:c r="R218" s="33" t="str"/>
      <x:c r="S218" s="33" t="str"/>
      <x:c r="T218" s="35" t="n">
        <x:v>9.5851931</x:v>
      </x:c>
      <x:c r="U218" s="35" t="n">
        <x:v>-13.6593363</x:v>
      </x:c>
      <x:c r="V218" s="33" t="str">
        <x:v>https://www.openstreetmap.org/node/9727037554</x:v>
      </x:c>
      <x:c r="W218" s="33" t="str">
        <x:v>node/9727037554</x:v>
      </x:c>
      <x:c r="X218" s="33" t="str">
        <x:v>review_required</x:v>
      </x:c>
      <x:c r="Y218" s="33" t="str">
        <x:v>one lounge conakry|conakry</x:v>
      </x:c>
      <x:c r="Z218" s="33" t="str"/>
      <x:c r="AA218" s="33" t="str"/>
    </x:row>
    <x:row r="219">
      <x:c r="A219" s="30" t="str">
        <x:v>À vérifier</x:v>
      </x:c>
      <x:c r="B219" s="30" t="str"/>
      <x:c r="C219" s="31"/>
      <x:c r="D219" s="30" t="str">
        <x:v>Non vérifié</x:v>
      </x:c>
      <x:c r="E219" s="30" t="str"/>
      <x:c r="F219" s="30" t="str"/>
      <x:c r="G219" s="32" t="str"/>
      <x:c r="H219" s="33" t="str">
        <x:f>IF(I219&lt;&gt;"","Doublon possible","")</x:f>
        <x:v>Doublon possible</x:v>
      </x:c>
      <x:c r="I219" s="33" t="str">
        <x:f>IF(COUNTIFS($Y$9:$Y$678,Y219)&gt;1,"Nom + ville",IF(AND(Z219&lt;&gt;"",COUNTIFS($Z$9:$Z$678,Z219)&gt;1),"Téléphone",IF(AND(AA219&lt;&gt;"",COUNTIFS($AA$9:$AA$678,AA219)&gt;1),"Site web","")))</x:f>
        <x:v>Nom + ville</x:v>
      </x:c>
      <x:c r="J219" s="33" t="str">
        <x:v>Sky. Lounge</x:v>
      </x:c>
      <x:c r="K219" s="33" t="str">
        <x:v>Divertissement / Entertainment</x:v>
      </x:c>
      <x:c r="L219" s="33" t="str">
        <x:v>Bars et lounges</x:v>
      </x:c>
      <x:c r="M219" s="33" t="str">
        <x:v>Conakry</x:v>
      </x:c>
      <x:c r="N219" s="33" t="str"/>
      <x:c r="O219" s="33" t="str">
        <x:v>J942+6Q5, Conakry, Guinée J942+6Q5, Conakry, Guinée</x:v>
      </x:c>
      <x:c r="P219" s="33" t="str">
        <x:v>+224 628 37 74 53</x:v>
      </x:c>
      <x:c r="Q219" s="33" t="str"/>
      <x:c r="R219" s="33" t="str">
        <x:v>https://www.facebook.com/skyloungekipe?mibextid=LQQJ4d</x:v>
      </x:c>
      <x:c r="S219" s="33" t="str"/>
      <x:c r="T219" s="35" t="n">
        <x:v>9.6054924</x:v>
      </x:c>
      <x:c r="U219" s="35" t="n">
        <x:v>-13.647671</x:v>
      </x:c>
      <x:c r="V219" s="33" t="str">
        <x:v>https://www.openstreetmap.org/node/10946286325</x:v>
      </x:c>
      <x:c r="W219" s="33" t="str">
        <x:v>node/10946286325</x:v>
      </x:c>
      <x:c r="X219" s="33" t="str">
        <x:v>review_required</x:v>
      </x:c>
      <x:c r="Y219" s="33" t="str">
        <x:v>sky lounge|conakry</x:v>
      </x:c>
      <x:c r="Z219" s="33" t="str">
        <x:v>224628377453</x:v>
      </x:c>
      <x:c r="AA219" s="33" t="str">
        <x:v>facebook.com/skyloungekipe</x:v>
      </x:c>
    </x:row>
    <x:row r="220">
      <x:c r="A220" s="30" t="str">
        <x:v>À vérifier</x:v>
      </x:c>
      <x:c r="B220" s="30" t="str"/>
      <x:c r="C220" s="31"/>
      <x:c r="D220" s="30" t="str">
        <x:v>Non vérifié</x:v>
      </x:c>
      <x:c r="E220" s="30" t="str"/>
      <x:c r="F220" s="30" t="str"/>
      <x:c r="G220" s="32" t="str"/>
      <x:c r="H220" s="33" t="str">
        <x:f>IF(I220&lt;&gt;"","Doublon possible","")</x:f>
      </x:c>
      <x:c r="I220" s="33" t="str">
        <x:f>IF(COUNTIFS($Y$9:$Y$678,Y220)&gt;1,"Nom + ville",IF(AND(Z220&lt;&gt;"",COUNTIFS($Z$9:$Z$678,Z220)&gt;1),"Téléphone",IF(AND(AA220&lt;&gt;"",COUNTIFS($AA$9:$AA$678,AA220)&gt;1),"Site web","")))</x:f>
      </x:c>
      <x:c r="J220" s="33" t="str">
        <x:v>Auberge Gayemey</x:v>
      </x:c>
      <x:c r="K220" s="33" t="str">
        <x:v>Hôtels</x:v>
      </x:c>
      <x:c r="L220" s="33" t="str">
        <x:v>Hôtels</x:v>
      </x:c>
      <x:c r="M220" s="33" t="str">
        <x:v>Conakry (à vérifier)</x:v>
      </x:c>
      <x:c r="N220" s="33" t="str"/>
      <x:c r="O220" s="33" t="str"/>
      <x:c r="P220" s="33" t="str">
        <x:v>+224666535919</x:v>
      </x:c>
      <x:c r="Q220" s="33" t="str"/>
      <x:c r="R220" s="33" t="str"/>
      <x:c r="S220" s="33" t="str"/>
      <x:c r="T220" s="35" t="n">
        <x:v>9.6788001</x:v>
      </x:c>
      <x:c r="U220" s="35" t="n">
        <x:v>-13.5642062</x:v>
      </x:c>
      <x:c r="V220" s="33" t="str">
        <x:v>https://www.openstreetmap.org/node/6025414128</x:v>
      </x:c>
      <x:c r="W220" s="33" t="str">
        <x:v>node/6025414128</x:v>
      </x:c>
      <x:c r="X220" s="33" t="str">
        <x:v>review_required</x:v>
      </x:c>
      <x:c r="Y220" s="33" t="str">
        <x:v>auberge gayemey|conakry a verifier</x:v>
      </x:c>
      <x:c r="Z220" s="33" t="str">
        <x:v>224666535919</x:v>
      </x:c>
      <x:c r="AA220" s="33" t="str"/>
    </x:row>
    <x:row r="221">
      <x:c r="A221" s="30" t="str">
        <x:v>À vérifier</x:v>
      </x:c>
      <x:c r="B221" s="30" t="str"/>
      <x:c r="C221" s="31"/>
      <x:c r="D221" s="30" t="str">
        <x:v>Non vérifié</x:v>
      </x:c>
      <x:c r="E221" s="30" t="str"/>
      <x:c r="F221" s="30" t="str"/>
      <x:c r="G221" s="32" t="str"/>
      <x:c r="H221" s="33" t="str">
        <x:f>IF(I221&lt;&gt;"","Doublon possible","")</x:f>
      </x:c>
      <x:c r="I221" s="33" t="str">
        <x:f>IF(COUNTIFS($Y$9:$Y$678,Y221)&gt;1,"Nom + ville",IF(AND(Z221&lt;&gt;"",COUNTIFS($Z$9:$Z$678,Z221)&gt;1),"Téléphone",IF(AND(AA221&lt;&gt;"",COUNTIFS($AA$9:$AA$678,AA221)&gt;1),"Site web","")))</x:f>
      </x:c>
      <x:c r="J221" s="33" t="str">
        <x:v>Auberge La Bananeraie</x:v>
      </x:c>
      <x:c r="K221" s="33" t="str">
        <x:v>Hôtels</x:v>
      </x:c>
      <x:c r="L221" s="33" t="str">
        <x:v>Auberges</x:v>
      </x:c>
      <x:c r="M221" s="33" t="str">
        <x:v>Conakry (à vérifier)</x:v>
      </x:c>
      <x:c r="N221" s="33" t="str"/>
      <x:c r="O221" s="33" t="str"/>
      <x:c r="P221" s="33" t="str">
        <x:v>+224625902426</x:v>
      </x:c>
      <x:c r="Q221" s="33" t="str"/>
      <x:c r="R221" s="33" t="str"/>
      <x:c r="S221" s="33" t="str"/>
      <x:c r="T221" s="35" t="n">
        <x:v>9.6453696</x:v>
      </x:c>
      <x:c r="U221" s="35" t="n">
        <x:v>-13.605569</x:v>
      </x:c>
      <x:c r="V221" s="33" t="str">
        <x:v>https://www.openstreetmap.org/node/7113202918</x:v>
      </x:c>
      <x:c r="W221" s="33" t="str">
        <x:v>node/7113202918</x:v>
      </x:c>
      <x:c r="X221" s="33" t="str">
        <x:v>review_required</x:v>
      </x:c>
      <x:c r="Y221" s="33" t="str">
        <x:v>auberge la bananeraie|conakry a verifier</x:v>
      </x:c>
      <x:c r="Z221" s="33" t="str">
        <x:v>224625902426</x:v>
      </x:c>
      <x:c r="AA221" s="33" t="str"/>
    </x:row>
    <x:row r="222">
      <x:c r="A222" s="30" t="str">
        <x:v>À vérifier</x:v>
      </x:c>
      <x:c r="B222" s="30" t="str"/>
      <x:c r="C222" s="31"/>
      <x:c r="D222" s="30" t="str">
        <x:v>Non vérifié</x:v>
      </x:c>
      <x:c r="E222" s="30" t="str"/>
      <x:c r="F222" s="30" t="str"/>
      <x:c r="G222" s="32" t="str"/>
      <x:c r="H222" s="33" t="str">
        <x:f>IF(I222&lt;&gt;"","Doublon possible","")</x:f>
      </x:c>
      <x:c r="I222" s="33" t="str">
        <x:f>IF(COUNTIFS($Y$9:$Y$678,Y222)&gt;1,"Nom + ville",IF(AND(Z222&lt;&gt;"",COUNTIFS($Z$9:$Z$678,Z222)&gt;1),"Téléphone",IF(AND(AA222&lt;&gt;"",COUNTIFS($AA$9:$AA$678,AA222)&gt;1),"Site web","")))</x:f>
      </x:c>
      <x:c r="J222" s="33" t="str">
        <x:v>Chez Mr Bah</x:v>
      </x:c>
      <x:c r="K222" s="33" t="str">
        <x:v>Hôtels</x:v>
      </x:c>
      <x:c r="L222" s="33" t="str">
        <x:v>Résidences meublées</x:v>
      </x:c>
      <x:c r="M222" s="33" t="str">
        <x:v>Conakry (à vérifier)</x:v>
      </x:c>
      <x:c r="N222" s="33" t="str"/>
      <x:c r="O222" s="33" t="str"/>
      <x:c r="P222" s="33" t="str">
        <x:v>622513734</x:v>
      </x:c>
      <x:c r="Q222" s="33" t="str"/>
      <x:c r="R222" s="33" t="str"/>
      <x:c r="S222" s="33" t="str"/>
      <x:c r="T222" s="35" t="n">
        <x:v>9.6749354</x:v>
      </x:c>
      <x:c r="U222" s="35" t="n">
        <x:v>-13.580271</x:v>
      </x:c>
      <x:c r="V222" s="33" t="str">
        <x:v>https://www.openstreetmap.org/node/8424672947</x:v>
      </x:c>
      <x:c r="W222" s="33" t="str">
        <x:v>node/8424672947</x:v>
      </x:c>
      <x:c r="X222" s="33" t="str">
        <x:v>review_required</x:v>
      </x:c>
      <x:c r="Y222" s="33" t="str">
        <x:v>chez mr bah|conakry a verifier</x:v>
      </x:c>
      <x:c r="Z222" s="33" t="str">
        <x:v>224622513734</x:v>
      </x:c>
      <x:c r="AA222" s="33" t="str"/>
    </x:row>
    <x:row r="223">
      <x:c r="A223" s="30" t="str">
        <x:v>À vérifier</x:v>
      </x:c>
      <x:c r="B223" s="30" t="str"/>
      <x:c r="C223" s="31"/>
      <x:c r="D223" s="30" t="str">
        <x:v>Non vérifié</x:v>
      </x:c>
      <x:c r="E223" s="30" t="str"/>
      <x:c r="F223" s="30" t="str"/>
      <x:c r="G223" s="32" t="str"/>
      <x:c r="H223" s="33" t="str">
        <x:f>IF(I223&lt;&gt;"","Doublon possible","")</x:f>
      </x:c>
      <x:c r="I223" s="33" t="str">
        <x:f>IF(COUNTIFS($Y$9:$Y$678,Y223)&gt;1,"Nom + ville",IF(AND(Z223&lt;&gt;"",COUNTIFS($Z$9:$Z$678,Z223)&gt;1),"Téléphone",IF(AND(AA223&lt;&gt;"",COUNTIFS($AA$9:$AA$678,AA223)&gt;1),"Site web","")))</x:f>
      </x:c>
      <x:c r="J223" s="33" t="str">
        <x:v>Chez Yadal ElProfessor</x:v>
      </x:c>
      <x:c r="K223" s="33" t="str">
        <x:v>Hôtels</x:v>
      </x:c>
      <x:c r="L223" s="33" t="str">
        <x:v>Auberges</x:v>
      </x:c>
      <x:c r="M223" s="33" t="str">
        <x:v>Conakry (à vérifier)</x:v>
      </x:c>
      <x:c r="N223" s="33" t="str"/>
      <x:c r="O223" s="33" t="str"/>
      <x:c r="P223" s="33" t="str">
        <x:v>666262062</x:v>
      </x:c>
      <x:c r="Q223" s="33" t="str"/>
      <x:c r="R223" s="33" t="str"/>
      <x:c r="S223" s="33" t="str"/>
      <x:c r="T223" s="35" t="n">
        <x:v>9.6332581</x:v>
      </x:c>
      <x:c r="U223" s="35" t="n">
        <x:v>-13.5624754</x:v>
      </x:c>
      <x:c r="V223" s="33" t="str">
        <x:v>https://www.openstreetmap.org/node/12471126501</x:v>
      </x:c>
      <x:c r="W223" s="33" t="str">
        <x:v>node/12471126501</x:v>
      </x:c>
      <x:c r="X223" s="33" t="str">
        <x:v>review_required</x:v>
      </x:c>
      <x:c r="Y223" s="33" t="str">
        <x:v>chez yadal elprofessor|conakry a verifier</x:v>
      </x:c>
      <x:c r="Z223" s="33" t="str">
        <x:v>224666262062</x:v>
      </x:c>
      <x:c r="AA223" s="33" t="str"/>
    </x:row>
    <x:row r="224">
      <x:c r="A224" s="30" t="str">
        <x:v>À vérifier</x:v>
      </x:c>
      <x:c r="B224" s="30" t="str"/>
      <x:c r="C224" s="31"/>
      <x:c r="D224" s="30" t="str">
        <x:v>Non vérifié</x:v>
      </x:c>
      <x:c r="E224" s="30" t="str"/>
      <x:c r="F224" s="30" t="str"/>
      <x:c r="G224" s="32" t="str"/>
      <x:c r="H224" s="33" t="str">
        <x:f>IF(I224&lt;&gt;"","Doublon possible","")</x:f>
      </x:c>
      <x:c r="I224" s="33" t="str">
        <x:f>IF(COUNTIFS($Y$9:$Y$678,Y224)&gt;1,"Nom + ville",IF(AND(Z224&lt;&gt;"",COUNTIFS($Z$9:$Z$678,Z224)&gt;1),"Téléphone",IF(AND(AA224&lt;&gt;"",COUNTIFS($AA$9:$AA$678,AA224)&gt;1),"Site web","")))</x:f>
      </x:c>
      <x:c r="J224" s="33" t="str">
        <x:v>Hotel motel la Référence Plus</x:v>
      </x:c>
      <x:c r="K224" s="33" t="str">
        <x:v>Hôtels</x:v>
      </x:c>
      <x:c r="L224" s="33" t="str">
        <x:v>Hôtels</x:v>
      </x:c>
      <x:c r="M224" s="33" t="str">
        <x:v>Conakry (à vérifier)</x:v>
      </x:c>
      <x:c r="N224" s="33" t="str"/>
      <x:c r="O224" s="33" t="str"/>
      <x:c r="P224" s="33" t="str">
        <x:v>+224664734147</x:v>
      </x:c>
      <x:c r="Q224" s="33" t="str"/>
      <x:c r="R224" s="33" t="str"/>
      <x:c r="S224" s="33" t="str"/>
      <x:c r="T224" s="35" t="n">
        <x:v>9.7068049</x:v>
      </x:c>
      <x:c r="U224" s="35" t="n">
        <x:v>-13.5066438</x:v>
      </x:c>
      <x:c r="V224" s="33" t="str">
        <x:v>https://www.openstreetmap.org/node/5809042774</x:v>
      </x:c>
      <x:c r="W224" s="33" t="str">
        <x:v>node/5809042774</x:v>
      </x:c>
      <x:c r="X224" s="33" t="str">
        <x:v>review_required</x:v>
      </x:c>
      <x:c r="Y224" s="33" t="str">
        <x:v>hotel motel la reference plus|conakry a verifier</x:v>
      </x:c>
      <x:c r="Z224" s="33" t="str">
        <x:v>224664734147</x:v>
      </x:c>
      <x:c r="AA224" s="33" t="str"/>
    </x:row>
    <x:row r="225">
      <x:c r="A225" s="30" t="str">
        <x:v>À vérifier</x:v>
      </x:c>
      <x:c r="B225" s="30" t="str"/>
      <x:c r="C225" s="31"/>
      <x:c r="D225" s="30" t="str">
        <x:v>Non vérifié</x:v>
      </x:c>
      <x:c r="E225" s="30" t="str"/>
      <x:c r="F225" s="30" t="str"/>
      <x:c r="G225" s="32" t="str"/>
      <x:c r="H225" s="33" t="str">
        <x:f>IF(I225&lt;&gt;"","Doublon possible","")</x:f>
      </x:c>
      <x:c r="I225" s="33" t="str">
        <x:f>IF(COUNTIFS($Y$9:$Y$678,Y225)&gt;1,"Nom + ville",IF(AND(Z225&lt;&gt;"",COUNTIFS($Z$9:$Z$678,Z225)&gt;1),"Téléphone",IF(AND(AA225&lt;&gt;"",COUNTIFS($AA$9:$AA$678,AA225)&gt;1),"Site web","")))</x:f>
      </x:c>
      <x:c r="J225" s="33" t="str">
        <x:v>Hotel Sheraton</x:v>
      </x:c>
      <x:c r="K225" s="33" t="str">
        <x:v>Hôtels</x:v>
      </x:c>
      <x:c r="L225" s="33" t="str">
        <x:v>Hôtels</x:v>
      </x:c>
      <x:c r="M225" s="33" t="str">
        <x:v>Conakry (à vérifier)</x:v>
      </x:c>
      <x:c r="N225" s="33" t="str"/>
      <x:c r="O225" s="33" t="str"/>
      <x:c r="P225" s="33" t="str">
        <x:v>(+224) 624 93 12 12</x:v>
      </x:c>
      <x:c r="Q225" s="33" t="str">
        <x:v>reservations.conakry@sheraton.com</x:v>
      </x:c>
      <x:c r="R225" s="33" t="str">
        <x:v>www.sheraton.com</x:v>
      </x:c>
      <x:c r="S225" s="33" t="str"/>
      <x:c r="T225" s="35" t="n">
        <x:v>9.60682</x:v>
      </x:c>
      <x:c r="U225" s="35" t="n">
        <x:v>-13.6535919</x:v>
      </x:c>
      <x:c r="V225" s="33" t="str">
        <x:v>https://www.openstreetmap.org/way/548485914</x:v>
      </x:c>
      <x:c r="W225" s="33" t="str">
        <x:v>way/548485914</x:v>
      </x:c>
      <x:c r="X225" s="33" t="str">
        <x:v>review_required</x:v>
      </x:c>
      <x:c r="Y225" s="33" t="str">
        <x:v>hotel sheraton|conakry a verifier</x:v>
      </x:c>
      <x:c r="Z225" s="33" t="str">
        <x:v>224624931212</x:v>
      </x:c>
      <x:c r="AA225" s="33" t="str">
        <x:v>sheraton.com</x:v>
      </x:c>
    </x:row>
    <x:row r="226">
      <x:c r="A226" s="30" t="str">
        <x:v>À vérifier</x:v>
      </x:c>
      <x:c r="B226" s="30" t="str"/>
      <x:c r="C226" s="31"/>
      <x:c r="D226" s="30" t="str">
        <x:v>Non vérifié</x:v>
      </x:c>
      <x:c r="E226" s="30" t="str"/>
      <x:c r="F226" s="30" t="str"/>
      <x:c r="G226" s="32" t="str"/>
      <x:c r="H226" s="33" t="str">
        <x:f>IF(I226&lt;&gt;"","Doublon possible","")</x:f>
      </x:c>
      <x:c r="I226" s="33" t="str">
        <x:f>IF(COUNTIFS($Y$9:$Y$678,Y226)&gt;1,"Nom + ville",IF(AND(Z226&lt;&gt;"",COUNTIFS($Z$9:$Z$678,Z226)&gt;1),"Téléphone",IF(AND(AA226&lt;&gt;"",COUNTIFS($AA$9:$AA$678,AA226)&gt;1),"Site web","")))</x:f>
      </x:c>
      <x:c r="J226" s="33" t="str">
        <x:v>Hôtel Baobab 1</x:v>
      </x:c>
      <x:c r="K226" s="33" t="str">
        <x:v>Hôtels</x:v>
      </x:c>
      <x:c r="L226" s="33" t="str">
        <x:v>Hôtels</x:v>
      </x:c>
      <x:c r="M226" s="33" t="str">
        <x:v>Conakry (à vérifier)</x:v>
      </x:c>
      <x:c r="N226" s="33" t="str"/>
      <x:c r="O226" s="33" t="str"/>
      <x:c r="P226" s="33" t="str">
        <x:v>+224620209678</x:v>
      </x:c>
      <x:c r="Q226" s="33" t="str">
        <x:v>groupebaobabservices@gmail.com</x:v>
      </x:c>
      <x:c r="R226" s="33" t="str"/>
      <x:c r="S226" s="33" t="str"/>
      <x:c r="T226" s="35" t="n">
        <x:v>9.6309193</x:v>
      </x:c>
      <x:c r="U226" s="35" t="n">
        <x:v>-13.6078093</x:v>
      </x:c>
      <x:c r="V226" s="33" t="str">
        <x:v>https://www.openstreetmap.org/node/6044920294</x:v>
      </x:c>
      <x:c r="W226" s="33" t="str">
        <x:v>node/6044920294</x:v>
      </x:c>
      <x:c r="X226" s="33" t="str">
        <x:v>review_required</x:v>
      </x:c>
      <x:c r="Y226" s="33" t="str">
        <x:v>hotel baobab 1|conakry a verifier</x:v>
      </x:c>
      <x:c r="Z226" s="33" t="str">
        <x:v>224620209678</x:v>
      </x:c>
      <x:c r="AA226" s="33" t="str"/>
    </x:row>
    <x:row r="227">
      <x:c r="A227" s="30" t="str">
        <x:v>À vérifier</x:v>
      </x:c>
      <x:c r="B227" s="30" t="str"/>
      <x:c r="C227" s="31"/>
      <x:c r="D227" s="30" t="str">
        <x:v>Non vérifié</x:v>
      </x:c>
      <x:c r="E227" s="30" t="str"/>
      <x:c r="F227" s="30" t="str"/>
      <x:c r="G227" s="32" t="str"/>
      <x:c r="H227" s="33" t="str">
        <x:f>IF(I227&lt;&gt;"","Doublon possible","")</x:f>
      </x:c>
      <x:c r="I227" s="33" t="str">
        <x:f>IF(COUNTIFS($Y$9:$Y$678,Y227)&gt;1,"Nom + ville",IF(AND(Z227&lt;&gt;"",COUNTIFS($Z$9:$Z$678,Z227)&gt;1),"Téléphone",IF(AND(AA227&lt;&gt;"",COUNTIFS($AA$9:$AA$678,AA227)&gt;1),"Site web","")))</x:f>
      </x:c>
      <x:c r="J227" s="33" t="str">
        <x:v>Hôtel du golfe</x:v>
      </x:c>
      <x:c r="K227" s="33" t="str">
        <x:v>Hôtels</x:v>
      </x:c>
      <x:c r="L227" s="33" t="str">
        <x:v>Hôtels</x:v>
      </x:c>
      <x:c r="M227" s="33" t="str">
        <x:v>Conakry (à vérifier)</x:v>
      </x:c>
      <x:c r="N227" s="33" t="str"/>
      <x:c r="O227" s="33" t="str">
        <x:v>313 Rue DI.826</x:v>
      </x:c>
      <x:c r="P227" s="33" t="str">
        <x:v>(+224) 627606009</x:v>
      </x:c>
      <x:c r="Q227" s="33" t="str">
        <x:v>reservation@hoteldugolfe-guinee.com</x:v>
      </x:c>
      <x:c r="R227" s="33" t="str">
        <x:v>www.hoteldugolfe-guinee.com</x:v>
      </x:c>
      <x:c r="S227" s="33" t="str"/>
      <x:c r="T227" s="35" t="n">
        <x:v>9.5689254</x:v>
      </x:c>
      <x:c r="U227" s="35" t="n">
        <x:v>-13.6611413</x:v>
      </x:c>
      <x:c r="V227" s="33" t="str">
        <x:v>https://www.openstreetmap.org/way/566735892</x:v>
      </x:c>
      <x:c r="W227" s="33" t="str">
        <x:v>way/566735892</x:v>
      </x:c>
      <x:c r="X227" s="33" t="str">
        <x:v>review_required</x:v>
      </x:c>
      <x:c r="Y227" s="33" t="str">
        <x:v>hotel du golfe|conakry a verifier</x:v>
      </x:c>
      <x:c r="Z227" s="33" t="str">
        <x:v>224627606009</x:v>
      </x:c>
      <x:c r="AA227" s="33" t="str">
        <x:v>hoteldugolfe-guinee.com</x:v>
      </x:c>
    </x:row>
    <x:row r="228">
      <x:c r="A228" s="30" t="str">
        <x:v>À vérifier</x:v>
      </x:c>
      <x:c r="B228" s="30" t="str"/>
      <x:c r="C228" s="31"/>
      <x:c r="D228" s="30" t="str">
        <x:v>Non vérifié</x:v>
      </x:c>
      <x:c r="E228" s="30" t="str"/>
      <x:c r="F228" s="30" t="str"/>
      <x:c r="G228" s="32" t="str"/>
      <x:c r="H228" s="33" t="str">
        <x:f>IF(I228&lt;&gt;"","Doublon possible","")</x:f>
      </x:c>
      <x:c r="I228" s="33" t="str">
        <x:f>IF(COUNTIFS($Y$9:$Y$678,Y228)&gt;1,"Nom + ville",IF(AND(Z228&lt;&gt;"",COUNTIFS($Z$9:$Z$678,Z228)&gt;1),"Téléphone",IF(AND(AA228&lt;&gt;"",COUNTIFS($AA$9:$AA$678,AA228)&gt;1),"Site web","")))</x:f>
      </x:c>
      <x:c r="J228" s="33" t="str">
        <x:v>Hôtel du Sud</x:v>
      </x:c>
      <x:c r="K228" s="33" t="str">
        <x:v>Hôtels</x:v>
      </x:c>
      <x:c r="L228" s="33" t="str">
        <x:v>Hôtels</x:v>
      </x:c>
      <x:c r="M228" s="33" t="str">
        <x:v>Conakry (à vérifier)</x:v>
      </x:c>
      <x:c r="N228" s="33" t="str"/>
      <x:c r="O228" s="33" t="str"/>
      <x:c r="P228" s="33" t="str">
        <x:v>+224627473362</x:v>
      </x:c>
      <x:c r="Q228" s="33" t="str"/>
      <x:c r="R228" s="33" t="str"/>
      <x:c r="S228" s="33" t="str"/>
      <x:c r="T228" s="35" t="n">
        <x:v>9.6697562</x:v>
      </x:c>
      <x:c r="U228" s="35" t="n">
        <x:v>-13.5910219</x:v>
      </x:c>
      <x:c r="V228" s="33" t="str">
        <x:v>https://www.openstreetmap.org/node/5659755010</x:v>
      </x:c>
      <x:c r="W228" s="33" t="str">
        <x:v>node/5659755010</x:v>
      </x:c>
      <x:c r="X228" s="33" t="str">
        <x:v>review_required</x:v>
      </x:c>
      <x:c r="Y228" s="33" t="str">
        <x:v>hotel du sud|conakry a verifier</x:v>
      </x:c>
      <x:c r="Z228" s="33" t="str">
        <x:v>224627473362</x:v>
      </x:c>
      <x:c r="AA228" s="33" t="str"/>
    </x:row>
    <x:row r="229">
      <x:c r="A229" s="30" t="str">
        <x:v>À vérifier</x:v>
      </x:c>
      <x:c r="B229" s="30" t="str"/>
      <x:c r="C229" s="31"/>
      <x:c r="D229" s="30" t="str">
        <x:v>Non vérifié</x:v>
      </x:c>
      <x:c r="E229" s="30" t="str"/>
      <x:c r="F229" s="30" t="str"/>
      <x:c r="G229" s="32" t="str"/>
      <x:c r="H229" s="33" t="str">
        <x:f>IF(I229&lt;&gt;"","Doublon possible","")</x:f>
        <x:v>Doublon possible</x:v>
      </x:c>
      <x:c r="I229" s="33" t="str">
        <x:f>IF(COUNTIFS($Y$9:$Y$678,Y229)&gt;1,"Nom + ville",IF(AND(Z229&lt;&gt;"",COUNTIFS($Z$9:$Z$678,Z229)&gt;1),"Téléphone",IF(AND(AA229&lt;&gt;"",COUNTIFS($AA$9:$AA$678,AA229)&gt;1),"Site web","")))</x:f>
        <x:v>Téléphone</x:v>
      </x:c>
      <x:c r="J229" s="33" t="str">
        <x:v>Hôtel Riviera Royal</x:v>
      </x:c>
      <x:c r="K229" s="33" t="str">
        <x:v>Hôtels</x:v>
      </x:c>
      <x:c r="L229" s="33" t="str">
        <x:v>Hôtels</x:v>
      </x:c>
      <x:c r="M229" s="33" t="str">
        <x:v>Conakry</x:v>
      </x:c>
      <x:c r="N229" s="33" t="str"/>
      <x:c r="O229" s="33" t="str"/>
      <x:c r="P229" s="33" t="str">
        <x:v>00224 664223302</x:v>
      </x:c>
      <x:c r="Q229" s="33" t="str">
        <x:v>info@rivieraroyalhotel.com</x:v>
      </x:c>
      <x:c r="R229" s="33" t="str">
        <x:v>https://rivieraroyalhotel.com/</x:v>
      </x:c>
      <x:c r="S229" s="33" t="str"/>
      <x:c r="T229" s="35" t="n">
        <x:v>9.5210902</x:v>
      </x:c>
      <x:c r="U229" s="35" t="n">
        <x:v>-13.6951372</x:v>
      </x:c>
      <x:c r="V229" s="33" t="str">
        <x:v>https://www.openstreetmap.org/way/505450423</x:v>
      </x:c>
      <x:c r="W229" s="33" t="str">
        <x:v>way/505450423</x:v>
      </x:c>
      <x:c r="X229" s="33" t="str">
        <x:v>review_required</x:v>
      </x:c>
      <x:c r="Y229" s="33" t="str">
        <x:v>hotel riviera royal|conakry</x:v>
      </x:c>
      <x:c r="Z229" s="33" t="str">
        <x:v>224664223302</x:v>
      </x:c>
      <x:c r="AA229" s="33" t="str">
        <x:v>rivieraroyalhotel.com</x:v>
      </x:c>
    </x:row>
    <x:row r="230">
      <x:c r="A230" s="30" t="str">
        <x:v>À vérifier</x:v>
      </x:c>
      <x:c r="B230" s="30" t="str"/>
      <x:c r="C230" s="31"/>
      <x:c r="D230" s="30" t="str">
        <x:v>Non vérifié</x:v>
      </x:c>
      <x:c r="E230" s="30" t="str"/>
      <x:c r="F230" s="30" t="str"/>
      <x:c r="G230" s="32" t="str"/>
      <x:c r="H230" s="33" t="str">
        <x:f>IF(I230&lt;&gt;"","Doublon possible","")</x:f>
      </x:c>
      <x:c r="I230" s="33" t="str">
        <x:f>IF(COUNTIFS($Y$9:$Y$678,Y230)&gt;1,"Nom + ville",IF(AND(Z230&lt;&gt;"",COUNTIFS($Z$9:$Z$678,Z230)&gt;1),"Téléphone",IF(AND(AA230&lt;&gt;"",COUNTIFS($AA$9:$AA$678,AA230)&gt;1),"Site web","")))</x:f>
      </x:c>
      <x:c r="J230" s="33" t="str">
        <x:v>Kassa Kounki</x:v>
      </x:c>
      <x:c r="K230" s="33" t="str">
        <x:v>Hôtels</x:v>
      </x:c>
      <x:c r="L230" s="33" t="str">
        <x:v>Hôtels</x:v>
      </x:c>
      <x:c r="M230" s="33" t="str">
        <x:v>Conakry (à vérifier)</x:v>
      </x:c>
      <x:c r="N230" s="33" t="str"/>
      <x:c r="O230" s="33" t="str"/>
      <x:c r="P230" s="33" t="str">
        <x:v>00224662691589</x:v>
      </x:c>
      <x:c r="Q230" s="33" t="str"/>
      <x:c r="R230" s="33" t="str">
        <x:v>https://www.kassakounki.com/</x:v>
      </x:c>
      <x:c r="S230" s="33" t="str"/>
      <x:c r="T230" s="35" t="n">
        <x:v>9.4779685</x:v>
      </x:c>
      <x:c r="U230" s="35" t="n">
        <x:v>-13.7523625</x:v>
      </x:c>
      <x:c r="V230" s="33" t="str">
        <x:v>https://www.openstreetmap.org/node/5520247375</x:v>
      </x:c>
      <x:c r="W230" s="33" t="str">
        <x:v>node/5520247375</x:v>
      </x:c>
      <x:c r="X230" s="33" t="str">
        <x:v>review_required</x:v>
      </x:c>
      <x:c r="Y230" s="33" t="str">
        <x:v>kassa kounki|conakry a verifier</x:v>
      </x:c>
      <x:c r="Z230" s="33" t="str">
        <x:v>224662691589</x:v>
      </x:c>
      <x:c r="AA230" s="33" t="str">
        <x:v>kassakounki.com</x:v>
      </x:c>
    </x:row>
    <x:row r="231">
      <x:c r="A231" s="30" t="str">
        <x:v>À vérifier</x:v>
      </x:c>
      <x:c r="B231" s="30" t="str"/>
      <x:c r="C231" s="31"/>
      <x:c r="D231" s="30" t="str">
        <x:v>Non vérifié</x:v>
      </x:c>
      <x:c r="E231" s="30" t="str"/>
      <x:c r="F231" s="30" t="str"/>
      <x:c r="G231" s="32" t="str"/>
      <x:c r="H231" s="33" t="str">
        <x:f>IF(I231&lt;&gt;"","Doublon possible","")</x:f>
      </x:c>
      <x:c r="I231" s="33" t="str">
        <x:f>IF(COUNTIFS($Y$9:$Y$678,Y231)&gt;1,"Nom + ville",IF(AND(Z231&lt;&gt;"",COUNTIFS($Z$9:$Z$678,Z231)&gt;1),"Téléphone",IF(AND(AA231&lt;&gt;"",COUNTIFS($AA$9:$AA$678,AA231)&gt;1),"Site web","")))</x:f>
      </x:c>
      <x:c r="J231" s="33" t="str">
        <x:v>La Surprise plus</x:v>
      </x:c>
      <x:c r="K231" s="33" t="str">
        <x:v>Hôtels</x:v>
      </x:c>
      <x:c r="L231" s="33" t="str">
        <x:v>Auberges</x:v>
      </x:c>
      <x:c r="M231" s="33" t="str">
        <x:v>Conakry (à vérifier)</x:v>
      </x:c>
      <x:c r="N231" s="33" t="str"/>
      <x:c r="O231" s="33" t="str"/>
      <x:c r="P231" s="33" t="str">
        <x:v>+224626908459</x:v>
      </x:c>
      <x:c r="Q231" s="33" t="str"/>
      <x:c r="R231" s="33" t="str"/>
      <x:c r="S231" s="33" t="str"/>
      <x:c r="T231" s="35" t="n">
        <x:v>9.6646436</x:v>
      </x:c>
      <x:c r="U231" s="35" t="n">
        <x:v>-13.5233097</x:v>
      </x:c>
      <x:c r="V231" s="33" t="str">
        <x:v>https://www.openstreetmap.org/node/5994148526</x:v>
      </x:c>
      <x:c r="W231" s="33" t="str">
        <x:v>node/5994148526</x:v>
      </x:c>
      <x:c r="X231" s="33" t="str">
        <x:v>review_required</x:v>
      </x:c>
      <x:c r="Y231" s="33" t="str">
        <x:v>la surprise plus|conakry a verifier</x:v>
      </x:c>
      <x:c r="Z231" s="33" t="str">
        <x:v>224626908459</x:v>
      </x:c>
      <x:c r="AA231" s="33" t="str"/>
    </x:row>
    <x:row r="232">
      <x:c r="A232" s="30" t="str">
        <x:v>À vérifier</x:v>
      </x:c>
      <x:c r="B232" s="30" t="str"/>
      <x:c r="C232" s="31"/>
      <x:c r="D232" s="30" t="str">
        <x:v>Non vérifié</x:v>
      </x:c>
      <x:c r="E232" s="30" t="str"/>
      <x:c r="F232" s="30" t="str"/>
      <x:c r="G232" s="32" t="str"/>
      <x:c r="H232" s="33" t="str">
        <x:f>IF(I232&lt;&gt;"","Doublon possible","")</x:f>
      </x:c>
      <x:c r="I232" s="33" t="str">
        <x:f>IF(COUNTIFS($Y$9:$Y$678,Y232)&gt;1,"Nom + ville",IF(AND(Z232&lt;&gt;"",COUNTIFS($Z$9:$Z$678,Z232)&gt;1),"Téléphone",IF(AND(AA232&lt;&gt;"",COUNTIFS($AA$9:$AA$678,AA232)&gt;1),"Site web","")))</x:f>
      </x:c>
      <x:c r="J232" s="33" t="str">
        <x:v>Little Havana</x:v>
      </x:c>
      <x:c r="K232" s="33" t="str">
        <x:v>Hôtels</x:v>
      </x:c>
      <x:c r="L232" s="33" t="str">
        <x:v>Hôtels</x:v>
      </x:c>
      <x:c r="M232" s="33" t="str">
        <x:v>Conakry (à vérifier)</x:v>
      </x:c>
      <x:c r="N232" s="33" t="str"/>
      <x:c r="O232" s="33" t="str"/>
      <x:c r="P232" s="33" t="str">
        <x:v>+224664252227</x:v>
      </x:c>
      <x:c r="Q232" s="33" t="str"/>
      <x:c r="R232" s="33" t="str">
        <x:v>https://www.littlehavanaguinee.com/</x:v>
      </x:c>
      <x:c r="S232" s="33" t="str"/>
      <x:c r="T232" s="35" t="n">
        <x:v>9.6032792</x:v>
      </x:c>
      <x:c r="U232" s="35" t="n">
        <x:v>-13.6563711</x:v>
      </x:c>
      <x:c r="V232" s="33" t="str">
        <x:v>https://www.openstreetmap.org/node/1723753487</x:v>
      </x:c>
      <x:c r="W232" s="33" t="str">
        <x:v>node/1723753487</x:v>
      </x:c>
      <x:c r="X232" s="33" t="str">
        <x:v>review_required</x:v>
      </x:c>
      <x:c r="Y232" s="33" t="str">
        <x:v>little havana|conakry a verifier</x:v>
      </x:c>
      <x:c r="Z232" s="33" t="str">
        <x:v>224664252227</x:v>
      </x:c>
      <x:c r="AA232" s="33" t="str">
        <x:v>littlehavanaguinee.com</x:v>
      </x:c>
    </x:row>
    <x:row r="233">
      <x:c r="A233" s="30" t="str">
        <x:v>À vérifier</x:v>
      </x:c>
      <x:c r="B233" s="30" t="str"/>
      <x:c r="C233" s="31"/>
      <x:c r="D233" s="30" t="str">
        <x:v>Non vérifié</x:v>
      </x:c>
      <x:c r="E233" s="30" t="str"/>
      <x:c r="F233" s="30" t="str"/>
      <x:c r="G233" s="32" t="str"/>
      <x:c r="H233" s="33" t="str">
        <x:f>IF(I233&lt;&gt;"","Doublon possible","")</x:f>
      </x:c>
      <x:c r="I233" s="33" t="str">
        <x:f>IF(COUNTIFS($Y$9:$Y$678,Y233)&gt;1,"Nom + ville",IF(AND(Z233&lt;&gt;"",COUNTIFS($Z$9:$Z$678,Z233)&gt;1),"Téléphone",IF(AND(AA233&lt;&gt;"",COUNTIFS($AA$9:$AA$678,AA233)&gt;1),"Site web","")))</x:f>
      </x:c>
      <x:c r="J233" s="33" t="str">
        <x:v>Motel Lausanne</x:v>
      </x:c>
      <x:c r="K233" s="33" t="str">
        <x:v>Hôtels</x:v>
      </x:c>
      <x:c r="L233" s="33" t="str">
        <x:v>Hôtels</x:v>
      </x:c>
      <x:c r="M233" s="33" t="str">
        <x:v>Conakry (à vérifier)</x:v>
      </x:c>
      <x:c r="N233" s="33" t="str"/>
      <x:c r="O233" s="33" t="str"/>
      <x:c r="P233" s="33" t="str">
        <x:v>+224623848774</x:v>
      </x:c>
      <x:c r="Q233" s="33" t="str"/>
      <x:c r="R233" s="33" t="str"/>
      <x:c r="S233" s="33" t="str"/>
      <x:c r="T233" s="35" t="n">
        <x:v>9.7052398</x:v>
      </x:c>
      <x:c r="U233" s="35" t="n">
        <x:v>-13.5070866</x:v>
      </x:c>
      <x:c r="V233" s="33" t="str">
        <x:v>https://www.openstreetmap.org/node/5809042775</x:v>
      </x:c>
      <x:c r="W233" s="33" t="str">
        <x:v>node/5809042775</x:v>
      </x:c>
      <x:c r="X233" s="33" t="str">
        <x:v>review_required</x:v>
      </x:c>
      <x:c r="Y233" s="33" t="str">
        <x:v>motel lausanne|conakry a verifier</x:v>
      </x:c>
      <x:c r="Z233" s="33" t="str">
        <x:v>224623848774</x:v>
      </x:c>
      <x:c r="AA233" s="33" t="str"/>
    </x:row>
    <x:row r="234">
      <x:c r="A234" s="30" t="str">
        <x:v>À vérifier</x:v>
      </x:c>
      <x:c r="B234" s="30" t="str"/>
      <x:c r="C234" s="31"/>
      <x:c r="D234" s="30" t="str">
        <x:v>Non vérifié</x:v>
      </x:c>
      <x:c r="E234" s="30" t="str"/>
      <x:c r="F234" s="30" t="str"/>
      <x:c r="G234" s="32" t="str"/>
      <x:c r="H234" s="33" t="str">
        <x:f>IF(I234&lt;&gt;"","Doublon possible","")</x:f>
      </x:c>
      <x:c r="I234" s="33" t="str">
        <x:f>IF(COUNTIFS($Y$9:$Y$678,Y234)&gt;1,"Nom + ville",IF(AND(Z234&lt;&gt;"",COUNTIFS($Z$9:$Z$678,Z234)&gt;1),"Téléphone",IF(AND(AA234&lt;&gt;"",COUNTIFS($AA$9:$AA$678,AA234)&gt;1),"Site web","")))</x:f>
      </x:c>
      <x:c r="J234" s="33" t="str">
        <x:v>Motel le miel</x:v>
      </x:c>
      <x:c r="K234" s="33" t="str">
        <x:v>Hôtels</x:v>
      </x:c>
      <x:c r="L234" s="33" t="str">
        <x:v>Hôtels</x:v>
      </x:c>
      <x:c r="M234" s="33" t="str">
        <x:v>Conakry (à vérifier)</x:v>
      </x:c>
      <x:c r="N234" s="33" t="str"/>
      <x:c r="O234" s="33" t="str"/>
      <x:c r="P234" s="33" t="str">
        <x:v>+224622457673</x:v>
      </x:c>
      <x:c r="Q234" s="33" t="str"/>
      <x:c r="R234" s="33" t="str"/>
      <x:c r="S234" s="33" t="str"/>
      <x:c r="T234" s="35" t="n">
        <x:v>9.7199884</x:v>
      </x:c>
      <x:c r="U234" s="35" t="n">
        <x:v>-13.4918608</x:v>
      </x:c>
      <x:c r="V234" s="33" t="str">
        <x:v>https://www.openstreetmap.org/node/5809043338</x:v>
      </x:c>
      <x:c r="W234" s="33" t="str">
        <x:v>node/5809043338</x:v>
      </x:c>
      <x:c r="X234" s="33" t="str">
        <x:v>review_required</x:v>
      </x:c>
      <x:c r="Y234" s="33" t="str">
        <x:v>motel le miel|conakry a verifier</x:v>
      </x:c>
      <x:c r="Z234" s="33" t="str">
        <x:v>224622457673</x:v>
      </x:c>
      <x:c r="AA234" s="33" t="str"/>
    </x:row>
    <x:row r="235">
      <x:c r="A235" s="30" t="str">
        <x:v>À vérifier</x:v>
      </x:c>
      <x:c r="B235" s="30" t="str"/>
      <x:c r="C235" s="31"/>
      <x:c r="D235" s="30" t="str">
        <x:v>Non vérifié</x:v>
      </x:c>
      <x:c r="E235" s="30" t="str"/>
      <x:c r="F235" s="30" t="str"/>
      <x:c r="G235" s="32" t="str"/>
      <x:c r="H235" s="33" t="str">
        <x:f>IF(I235&lt;&gt;"","Doublon possible","")</x:f>
      </x:c>
      <x:c r="I235" s="33" t="str">
        <x:f>IF(COUNTIFS($Y$9:$Y$678,Y235)&gt;1,"Nom + ville",IF(AND(Z235&lt;&gt;"",COUNTIFS($Z$9:$Z$678,Z235)&gt;1),"Téléphone",IF(AND(AA235&lt;&gt;"",COUNTIFS($AA$9:$AA$678,AA235)&gt;1),"Site web","")))</x:f>
      </x:c>
      <x:c r="J235" s="33" t="str">
        <x:v>Motel Ocean</x:v>
      </x:c>
      <x:c r="K235" s="33" t="str">
        <x:v>Hôtels</x:v>
      </x:c>
      <x:c r="L235" s="33" t="str">
        <x:v>Hôtels</x:v>
      </x:c>
      <x:c r="M235" s="33" t="str">
        <x:v>Conakry (à vérifier)</x:v>
      </x:c>
      <x:c r="N235" s="33" t="str"/>
      <x:c r="O235" s="33" t="str"/>
      <x:c r="P235" s="33" t="str">
        <x:v>+224623737617</x:v>
      </x:c>
      <x:c r="Q235" s="33" t="str"/>
      <x:c r="R235" s="33" t="str"/>
      <x:c r="S235" s="33" t="str"/>
      <x:c r="T235" s="35" t="n">
        <x:v>9.681665</x:v>
      </x:c>
      <x:c r="U235" s="35" t="n">
        <x:v>-13.5105767</x:v>
      </x:c>
      <x:c r="V235" s="33" t="str">
        <x:v>https://www.openstreetmap.org/node/6023246829</x:v>
      </x:c>
      <x:c r="W235" s="33" t="str">
        <x:v>node/6023246829</x:v>
      </x:c>
      <x:c r="X235" s="33" t="str">
        <x:v>review_required</x:v>
      </x:c>
      <x:c r="Y235" s="33" t="str">
        <x:v>motel ocean|conakry a verifier</x:v>
      </x:c>
      <x:c r="Z235" s="33" t="str">
        <x:v>224623737617</x:v>
      </x:c>
      <x:c r="AA235" s="33" t="str"/>
    </x:row>
    <x:row r="236">
      <x:c r="A236" s="30" t="str">
        <x:v>À vérifier</x:v>
      </x:c>
      <x:c r="B236" s="30" t="str"/>
      <x:c r="C236" s="31"/>
      <x:c r="D236" s="30" t="str">
        <x:v>Non vérifié</x:v>
      </x:c>
      <x:c r="E236" s="30" t="str"/>
      <x:c r="F236" s="30" t="str"/>
      <x:c r="G236" s="32" t="str"/>
      <x:c r="H236" s="33" t="str">
        <x:f>IF(I236&lt;&gt;"","Doublon possible","")</x:f>
      </x:c>
      <x:c r="I236" s="33" t="str">
        <x:f>IF(COUNTIFS($Y$9:$Y$678,Y236)&gt;1,"Nom + ville",IF(AND(Z236&lt;&gt;"",COUNTIFS($Z$9:$Z$678,Z236)&gt;1),"Téléphone",IF(AND(AA236&lt;&gt;"",COUNTIFS($AA$9:$AA$678,AA236)&gt;1),"Site web","")))</x:f>
      </x:c>
      <x:c r="J236" s="33" t="str">
        <x:v>Motel Residence le Matoto</x:v>
      </x:c>
      <x:c r="K236" s="33" t="str">
        <x:v>Hôtels</x:v>
      </x:c>
      <x:c r="L236" s="33" t="str">
        <x:v>Hôtels</x:v>
      </x:c>
      <x:c r="M236" s="33" t="str">
        <x:v>Conakry (à vérifier)</x:v>
      </x:c>
      <x:c r="N236" s="33" t="str"/>
      <x:c r="O236" s="33" t="str"/>
      <x:c r="P236" s="33" t="str">
        <x:v>+224660959595</x:v>
      </x:c>
      <x:c r="Q236" s="33" t="str"/>
      <x:c r="R236" s="33" t="str"/>
      <x:c r="S236" s="33" t="str"/>
      <x:c r="T236" s="35" t="n">
        <x:v>9.6134664</x:v>
      </x:c>
      <x:c r="U236" s="35" t="n">
        <x:v>-13.5866173</x:v>
      </x:c>
      <x:c r="V236" s="33" t="str">
        <x:v>https://www.openstreetmap.org/node/6076014523</x:v>
      </x:c>
      <x:c r="W236" s="33" t="str">
        <x:v>node/6076014523</x:v>
      </x:c>
      <x:c r="X236" s="33" t="str">
        <x:v>review_required</x:v>
      </x:c>
      <x:c r="Y236" s="33" t="str">
        <x:v>motel residence le matoto|conakry a verifier</x:v>
      </x:c>
      <x:c r="Z236" s="33" t="str">
        <x:v>224660959595</x:v>
      </x:c>
      <x:c r="AA236" s="33" t="str"/>
    </x:row>
    <x:row r="237">
      <x:c r="A237" s="30" t="str">
        <x:v>À vérifier</x:v>
      </x:c>
      <x:c r="B237" s="30" t="str"/>
      <x:c r="C237" s="31"/>
      <x:c r="D237" s="30" t="str">
        <x:v>Non vérifié</x:v>
      </x:c>
      <x:c r="E237" s="30" t="str"/>
      <x:c r="F237" s="30" t="str"/>
      <x:c r="G237" s="32" t="str"/>
      <x:c r="H237" s="33" t="str">
        <x:f>IF(I237&lt;&gt;"","Doublon possible","")</x:f>
      </x:c>
      <x:c r="I237" s="33" t="str">
        <x:f>IF(COUNTIFS($Y$9:$Y$678,Y237)&gt;1,"Nom + ville",IF(AND(Z237&lt;&gt;"",COUNTIFS($Z$9:$Z$678,Z237)&gt;1),"Téléphone",IF(AND(AA237&lt;&gt;"",COUNTIFS($AA$9:$AA$678,AA237)&gt;1),"Site web","")))</x:f>
      </x:c>
      <x:c r="J237" s="33" t="str">
        <x:v>Motel Residence Lengo Bèngou</x:v>
      </x:c>
      <x:c r="K237" s="33" t="str">
        <x:v>Hôtels</x:v>
      </x:c>
      <x:c r="L237" s="33" t="str">
        <x:v>Hôtels</x:v>
      </x:c>
      <x:c r="M237" s="33" t="str">
        <x:v>Conakry (à vérifier)</x:v>
      </x:c>
      <x:c r="N237" s="33" t="str"/>
      <x:c r="O237" s="33" t="str"/>
      <x:c r="P237" s="33" t="str">
        <x:v>+224660818181</x:v>
      </x:c>
      <x:c r="Q237" s="33" t="str"/>
      <x:c r="R237" s="33" t="str"/>
      <x:c r="S237" s="33" t="str"/>
      <x:c r="T237" s="35" t="n">
        <x:v>9.6131422</x:v>
      </x:c>
      <x:c r="U237" s="35" t="n">
        <x:v>-13.5868655</x:v>
      </x:c>
      <x:c r="V237" s="33" t="str">
        <x:v>https://www.openstreetmap.org/node/6076014522</x:v>
      </x:c>
      <x:c r="W237" s="33" t="str">
        <x:v>node/6076014522</x:v>
      </x:c>
      <x:c r="X237" s="33" t="str">
        <x:v>review_required</x:v>
      </x:c>
      <x:c r="Y237" s="33" t="str">
        <x:v>motel residence lengo bengou|conakry a verifier</x:v>
      </x:c>
      <x:c r="Z237" s="33" t="str">
        <x:v>224660818181</x:v>
      </x:c>
      <x:c r="AA237" s="33" t="str"/>
    </x:row>
    <x:row r="238">
      <x:c r="A238" s="30" t="str">
        <x:v>À vérifier</x:v>
      </x:c>
      <x:c r="B238" s="30" t="str"/>
      <x:c r="C238" s="31"/>
      <x:c r="D238" s="30" t="str">
        <x:v>Non vérifié</x:v>
      </x:c>
      <x:c r="E238" s="30" t="str"/>
      <x:c r="F238" s="30" t="str"/>
      <x:c r="G238" s="32" t="str"/>
      <x:c r="H238" s="33" t="str">
        <x:f>IF(I238&lt;&gt;"","Doublon possible","")</x:f>
      </x:c>
      <x:c r="I238" s="33" t="str">
        <x:f>IF(COUNTIFS($Y$9:$Y$678,Y238)&gt;1,"Nom + ville",IF(AND(Z238&lt;&gt;"",COUNTIFS($Z$9:$Z$678,Z238)&gt;1),"Téléphone",IF(AND(AA238&lt;&gt;"",COUNTIFS($AA$9:$AA$678,AA238)&gt;1),"Site web","")))</x:f>
      </x:c>
      <x:c r="J238" s="33" t="str">
        <x:v>Noom Hôtel</x:v>
      </x:c>
      <x:c r="K238" s="33" t="str">
        <x:v>Hôtels</x:v>
      </x:c>
      <x:c r="L238" s="33" t="str">
        <x:v>Hôtels</x:v>
      </x:c>
      <x:c r="M238" s="33" t="str">
        <x:v>Conakry (à vérifier)</x:v>
      </x:c>
      <x:c r="N238" s="33" t="str"/>
      <x:c r="O238" s="33" t="str"/>
      <x:c r="P238" s="33" t="str">
        <x:v>(+224) 626 33 33 33</x:v>
      </x:c>
      <x:c r="Q238" s="33" t="str">
        <x:v>info.conakry@noomhotels.com</x:v>
      </x:c>
      <x:c r="R238" s="33" t="str">
        <x:v>https://www.noomhotels.com/</x:v>
      </x:c>
      <x:c r="S238" s="33" t="str"/>
      <x:c r="T238" s="35" t="n">
        <x:v>9.5070624</x:v>
      </x:c>
      <x:c r="U238" s="35" t="n">
        <x:v>-13.7036322</x:v>
      </x:c>
      <x:c r="V238" s="33" t="str">
        <x:v>https://www.openstreetmap.org/way/549653524</x:v>
      </x:c>
      <x:c r="W238" s="33" t="str">
        <x:v>way/549653524</x:v>
      </x:c>
      <x:c r="X238" s="33" t="str">
        <x:v>review_required</x:v>
      </x:c>
      <x:c r="Y238" s="33" t="str">
        <x:v>noom hotel|conakry a verifier</x:v>
      </x:c>
      <x:c r="Z238" s="33" t="str">
        <x:v>224626333333</x:v>
      </x:c>
      <x:c r="AA238" s="33" t="str">
        <x:v>noomhotels.com</x:v>
      </x:c>
    </x:row>
    <x:row r="239">
      <x:c r="A239" s="30" t="str">
        <x:v>À vérifier</x:v>
      </x:c>
      <x:c r="B239" s="30" t="str"/>
      <x:c r="C239" s="31"/>
      <x:c r="D239" s="30" t="str">
        <x:v>Non vérifié</x:v>
      </x:c>
      <x:c r="E239" s="30" t="str"/>
      <x:c r="F239" s="30" t="str"/>
      <x:c r="G239" s="32" t="str"/>
      <x:c r="H239" s="33" t="str">
        <x:f>IF(I239&lt;&gt;"","Doublon possible","")</x:f>
      </x:c>
      <x:c r="I239" s="33" t="str">
        <x:f>IF(COUNTIFS($Y$9:$Y$678,Y239)&gt;1,"Nom + ville",IF(AND(Z239&lt;&gt;"",COUNTIFS($Z$9:$Z$678,Z239)&gt;1),"Téléphone",IF(AND(AA239&lt;&gt;"",COUNTIFS($AA$9:$AA$678,AA239)&gt;1),"Site web","")))</x:f>
      </x:c>
      <x:c r="J239" s="33" t="str">
        <x:v>ONOMO Hotel Conakry</x:v>
      </x:c>
      <x:c r="K239" s="33" t="str">
        <x:v>Hôtels</x:v>
      </x:c>
      <x:c r="L239" s="33" t="str">
        <x:v>Hôtels</x:v>
      </x:c>
      <x:c r="M239" s="33" t="str">
        <x:v>Conakry</x:v>
      </x:c>
      <x:c r="N239" s="33" t="str"/>
      <x:c r="O239" s="33" t="str">
        <x:v>Corniche Sud</x:v>
      </x:c>
      <x:c r="P239" s="33" t="str">
        <x:v>00224 624931616</x:v>
      </x:c>
      <x:c r="Q239" s="33" t="str">
        <x:v>onomo.conakry@onomohotel.com</x:v>
      </x:c>
      <x:c r="R239" s="33" t="str">
        <x:v>https://www.onomohotels.com/hotel/onomo-hotel-conakry/</x:v>
      </x:c>
      <x:c r="S239" s="33" t="str"/>
      <x:c r="T239" s="35" t="n">
        <x:v>9.5213798</x:v>
      </x:c>
      <x:c r="U239" s="35" t="n">
        <x:v>-13.6880288</x:v>
      </x:c>
      <x:c r="V239" s="33" t="str">
        <x:v>https://www.openstreetmap.org/node/5585470803</x:v>
      </x:c>
      <x:c r="W239" s="33" t="str">
        <x:v>node/5585470803</x:v>
      </x:c>
      <x:c r="X239" s="33" t="str">
        <x:v>review_required</x:v>
      </x:c>
      <x:c r="Y239" s="33" t="str">
        <x:v>onomo hotel conakry|conakry</x:v>
      </x:c>
      <x:c r="Z239" s="33" t="str">
        <x:v>224624931616</x:v>
      </x:c>
      <x:c r="AA239" s="33" t="str">
        <x:v>onomohotels.com/hotel/onomo-hotel-conakry</x:v>
      </x:c>
    </x:row>
    <x:row r="240">
      <x:c r="A240" s="30" t="str">
        <x:v>À vérifier</x:v>
      </x:c>
      <x:c r="B240" s="30" t="str"/>
      <x:c r="C240" s="31"/>
      <x:c r="D240" s="30" t="str">
        <x:v>Non vérifié</x:v>
      </x:c>
      <x:c r="E240" s="30" t="str"/>
      <x:c r="F240" s="30" t="str"/>
      <x:c r="G240" s="32" t="str"/>
      <x:c r="H240" s="33" t="str">
        <x:f>IF(I240&lt;&gt;"","Doublon possible","")</x:f>
      </x:c>
      <x:c r="I240" s="33" t="str">
        <x:f>IF(COUNTIFS($Y$9:$Y$678,Y240)&gt;1,"Nom + ville",IF(AND(Z240&lt;&gt;"",COUNTIFS($Z$9:$Z$678,Z240)&gt;1),"Téléphone",IF(AND(AA240&lt;&gt;"",COUNTIFS($AA$9:$AA$678,AA240)&gt;1),"Site web","")))</x:f>
      </x:c>
      <x:c r="J240" s="33" t="str">
        <x:v>Palm Camayenne</x:v>
      </x:c>
      <x:c r="K240" s="33" t="str">
        <x:v>Hôtels</x:v>
      </x:c>
      <x:c r="L240" s="33" t="str">
        <x:v>Hôtels</x:v>
      </x:c>
      <x:c r="M240" s="33" t="str">
        <x:v>Conakry (à vérifier)</x:v>
      </x:c>
      <x:c r="N240" s="33" t="str"/>
      <x:c r="O240" s="33" t="str"/>
      <x:c r="P240" s="33" t="str">
        <x:v>+224 656 10 10 10</x:v>
      </x:c>
      <x:c r="Q240" s="33" t="str"/>
      <x:c r="R240" s="33" t="str">
        <x:v>http://www.palmcamayenne.com</x:v>
      </x:c>
      <x:c r="S240" s="33" t="str"/>
      <x:c r="T240" s="35" t="n">
        <x:v>9.5355533</x:v>
      </x:c>
      <x:c r="U240" s="35" t="n">
        <x:v>-13.6889387</x:v>
      </x:c>
      <x:c r="V240" s="33" t="str">
        <x:v>https://www.openstreetmap.org/way/552718116</x:v>
      </x:c>
      <x:c r="W240" s="33" t="str">
        <x:v>way/552718116</x:v>
      </x:c>
      <x:c r="X240" s="33" t="str">
        <x:v>review_required</x:v>
      </x:c>
      <x:c r="Y240" s="33" t="str">
        <x:v>palm camayenne|conakry a verifier</x:v>
      </x:c>
      <x:c r="Z240" s="33" t="str">
        <x:v>224656101010</x:v>
      </x:c>
      <x:c r="AA240" s="33" t="str">
        <x:v>palmcamayenne.com</x:v>
      </x:c>
    </x:row>
    <x:row r="241">
      <x:c r="A241" s="30" t="str">
        <x:v>À vérifier</x:v>
      </x:c>
      <x:c r="B241" s="30" t="str"/>
      <x:c r="C241" s="31"/>
      <x:c r="D241" s="30" t="str">
        <x:v>Non vérifié</x:v>
      </x:c>
      <x:c r="E241" s="30" t="str"/>
      <x:c r="F241" s="30" t="str"/>
      <x:c r="G241" s="32" t="str"/>
      <x:c r="H241" s="33" t="str">
        <x:f>IF(I241&lt;&gt;"","Doublon possible","")</x:f>
      </x:c>
      <x:c r="I241" s="33" t="str">
        <x:f>IF(COUNTIFS($Y$9:$Y$678,Y241)&gt;1,"Nom + ville",IF(AND(Z241&lt;&gt;"",COUNTIFS($Z$9:$Z$678,Z241)&gt;1),"Téléphone",IF(AND(AA241&lt;&gt;"",COUNTIFS($AA$9:$AA$678,AA241)&gt;1),"Site web","")))</x:f>
      </x:c>
      <x:c r="J241" s="33" t="str">
        <x:v>Petit Bateau</x:v>
      </x:c>
      <x:c r="K241" s="33" t="str">
        <x:v>Hôtels</x:v>
      </x:c>
      <x:c r="L241" s="33" t="str">
        <x:v>Hôtels</x:v>
      </x:c>
      <x:c r="M241" s="33" t="str">
        <x:v>Conakry</x:v>
      </x:c>
      <x:c r="N241" s="33" t="str"/>
      <x:c r="O241" s="33" t="str"/>
      <x:c r="P241" s="33" t="str">
        <x:v>00224 657798000</x:v>
      </x:c>
      <x:c r="Q241" s="33" t="str">
        <x:v>reservation@hotelpetitbateau.com</x:v>
      </x:c>
      <x:c r="R241" s="33" t="str">
        <x:v>www.hotelpetitbateau.com</x:v>
      </x:c>
      <x:c r="S241" s="33" t="str"/>
      <x:c r="T241" s="35" t="n">
        <x:v>9.522924</x:v>
      </x:c>
      <x:c r="U241" s="35" t="n">
        <x:v>-13.7049388</x:v>
      </x:c>
      <x:c r="V241" s="33" t="str">
        <x:v>https://www.openstreetmap.org/way/338934494</x:v>
      </x:c>
      <x:c r="W241" s="33" t="str">
        <x:v>way/338934494</x:v>
      </x:c>
      <x:c r="X241" s="33" t="str">
        <x:v>review_required</x:v>
      </x:c>
      <x:c r="Y241" s="33" t="str">
        <x:v>petit bateau|conakry</x:v>
      </x:c>
      <x:c r="Z241" s="33" t="str">
        <x:v>224657798000</x:v>
      </x:c>
      <x:c r="AA241" s="33" t="str">
        <x:v>hotelpetitbateau.com</x:v>
      </x:c>
    </x:row>
    <x:row r="242">
      <x:c r="A242" s="30" t="str">
        <x:v>À vérifier</x:v>
      </x:c>
      <x:c r="B242" s="30" t="str"/>
      <x:c r="C242" s="31"/>
      <x:c r="D242" s="30" t="str">
        <x:v>Non vérifié</x:v>
      </x:c>
      <x:c r="E242" s="30" t="str"/>
      <x:c r="F242" s="30" t="str"/>
      <x:c r="G242" s="32" t="str"/>
      <x:c r="H242" s="33" t="str">
        <x:f>IF(I242&lt;&gt;"","Doublon possible","")</x:f>
        <x:v>Doublon possible</x:v>
      </x:c>
      <x:c r="I242" s="33" t="str">
        <x:f>IF(COUNTIFS($Y$9:$Y$678,Y242)&gt;1,"Nom + ville",IF(AND(Z242&lt;&gt;"",COUNTIFS($Z$9:$Z$678,Z242)&gt;1),"Téléphone",IF(AND(AA242&lt;&gt;"",COUNTIFS($AA$9:$AA$678,AA242)&gt;1),"Site web","")))</x:f>
        <x:v>Téléphone</x:v>
      </x:c>
      <x:c r="J242" s="33" t="str">
        <x:v>Riviera Royal</x:v>
      </x:c>
      <x:c r="K242" s="33" t="str">
        <x:v>Hôtels</x:v>
      </x:c>
      <x:c r="L242" s="33" t="str">
        <x:v>Hôtels</x:v>
      </x:c>
      <x:c r="M242" s="33" t="str">
        <x:v>Conakry (à vérifier)</x:v>
      </x:c>
      <x:c r="N242" s="33" t="str"/>
      <x:c r="O242" s="33" t="str"/>
      <x:c r="P242" s="33" t="str">
        <x:v>664223302</x:v>
      </x:c>
      <x:c r="Q242" s="33" t="str"/>
      <x:c r="R242" s="33" t="str">
        <x:v>https://rivieraroyalhotel.com/</x:v>
      </x:c>
      <x:c r="S242" s="33" t="str"/>
      <x:c r="T242" s="35" t="n">
        <x:v>9.583132</x:v>
      </x:c>
      <x:c r="U242" s="35" t="n">
        <x:v>-13.6647267</x:v>
      </x:c>
      <x:c r="V242" s="33" t="str">
        <x:v>https://www.openstreetmap.org/node/4464141322</x:v>
      </x:c>
      <x:c r="W242" s="33" t="str">
        <x:v>node/4464141322</x:v>
      </x:c>
      <x:c r="X242" s="33" t="str">
        <x:v>review_required</x:v>
      </x:c>
      <x:c r="Y242" s="33" t="str">
        <x:v>riviera royal|conakry a verifier</x:v>
      </x:c>
      <x:c r="Z242" s="33" t="str">
        <x:v>224664223302</x:v>
      </x:c>
      <x:c r="AA242" s="33" t="str">
        <x:v>rivieraroyalhotel.com</x:v>
      </x:c>
    </x:row>
    <x:row r="243">
      <x:c r="A243" s="30" t="str">
        <x:v>À vérifier</x:v>
      </x:c>
      <x:c r="B243" s="30" t="str"/>
      <x:c r="C243" s="31"/>
      <x:c r="D243" s="30" t="str">
        <x:v>Non vérifié</x:v>
      </x:c>
      <x:c r="E243" s="30" t="str"/>
      <x:c r="F243" s="30" t="str"/>
      <x:c r="G243" s="32" t="str"/>
      <x:c r="H243" s="33" t="str">
        <x:f>IF(I243&lt;&gt;"","Doublon possible","")</x:f>
      </x:c>
      <x:c r="I243" s="33" t="str">
        <x:f>IF(COUNTIFS($Y$9:$Y$678,Y243)&gt;1,"Nom + ville",IF(AND(Z243&lt;&gt;"",COUNTIFS($Z$9:$Z$678,Z243)&gt;1),"Téléphone",IF(AND(AA243&lt;&gt;"",COUNTIFS($AA$9:$AA$678,AA243)&gt;1),"Site web","")))</x:f>
      </x:c>
      <x:c r="J243" s="33" t="str">
        <x:v>Aicha Couture</x:v>
      </x:c>
      <x:c r="K243" s="33" t="str">
        <x:v>Ouvriers</x:v>
      </x:c>
      <x:c r="L243" s="33" t="str">
        <x:v>Manœuvres</x:v>
      </x:c>
      <x:c r="M243" s="33" t="str">
        <x:v>Conakry (à vérifier)</x:v>
      </x:c>
      <x:c r="N243" s="33" t="str"/>
      <x:c r="O243" s="33" t="str"/>
      <x:c r="P243" s="33" t="str">
        <x:v>621063579</x:v>
      </x:c>
      <x:c r="Q243" s="33" t="str"/>
      <x:c r="R243" s="33" t="str"/>
      <x:c r="S243" s="33" t="str"/>
      <x:c r="T243" s="35" t="n">
        <x:v>9.5681314</x:v>
      </x:c>
      <x:c r="U243" s="35" t="n">
        <x:v>-13.6395398</x:v>
      </x:c>
      <x:c r="V243" s="33" t="str">
        <x:v>https://www.openstreetmap.org/node/6179202085</x:v>
      </x:c>
      <x:c r="W243" s="33" t="str">
        <x:v>node/6179202085</x:v>
      </x:c>
      <x:c r="X243" s="33" t="str">
        <x:v>review_required</x:v>
      </x:c>
      <x:c r="Y243" s="33" t="str">
        <x:v>aicha couture|conakry a verifier</x:v>
      </x:c>
      <x:c r="Z243" s="33" t="str">
        <x:v>224621063579</x:v>
      </x:c>
      <x:c r="AA243" s="33" t="str"/>
    </x:row>
    <x:row r="244">
      <x:c r="A244" s="30" t="str">
        <x:v>À vérifier</x:v>
      </x:c>
      <x:c r="B244" s="30" t="str"/>
      <x:c r="C244" s="31"/>
      <x:c r="D244" s="30" t="str">
        <x:v>Non vérifié</x:v>
      </x:c>
      <x:c r="E244" s="30" t="str"/>
      <x:c r="F244" s="30" t="str"/>
      <x:c r="G244" s="32" t="str"/>
      <x:c r="H244" s="33" t="str">
        <x:f>IF(I244&lt;&gt;"","Doublon possible","")</x:f>
      </x:c>
      <x:c r="I244" s="33" t="str">
        <x:f>IF(COUNTIFS($Y$9:$Y$678,Y244)&gt;1,"Nom + ville",IF(AND(Z244&lt;&gt;"",COUNTIFS($Z$9:$Z$678,Z244)&gt;1),"Téléphone",IF(AND(AA244&lt;&gt;"",COUNTIFS($AA$9:$AA$678,AA244)&gt;1),"Site web","")))</x:f>
      </x:c>
      <x:c r="J244" s="33" t="str">
        <x:v>Bijouterie Kourouma</x:v>
      </x:c>
      <x:c r="K244" s="33" t="str">
        <x:v>Ouvriers</x:v>
      </x:c>
      <x:c r="L244" s="33" t="str">
        <x:v>Manœuvres</x:v>
      </x:c>
      <x:c r="M244" s="33" t="str">
        <x:v>Conakry (à vérifier)</x:v>
      </x:c>
      <x:c r="N244" s="33" t="str"/>
      <x:c r="O244" s="33" t="str"/>
      <x:c r="P244" s="33" t="str">
        <x:v>622943540</x:v>
      </x:c>
      <x:c r="Q244" s="33" t="str"/>
      <x:c r="R244" s="33" t="str"/>
      <x:c r="S244" s="33" t="str"/>
      <x:c r="T244" s="35" t="n">
        <x:v>9.6147706</x:v>
      </x:c>
      <x:c r="U244" s="35" t="n">
        <x:v>-13.6429925</x:v>
      </x:c>
      <x:c r="V244" s="33" t="str">
        <x:v>https://www.openstreetmap.org/node/5611985993</x:v>
      </x:c>
      <x:c r="W244" s="33" t="str">
        <x:v>node/5611985993</x:v>
      </x:c>
      <x:c r="X244" s="33" t="str">
        <x:v>review_required</x:v>
      </x:c>
      <x:c r="Y244" s="33" t="str">
        <x:v>bijouterie kourouma|conakry a verifier</x:v>
      </x:c>
      <x:c r="Z244" s="33" t="str">
        <x:v>224622943540</x:v>
      </x:c>
      <x:c r="AA244" s="33" t="str"/>
    </x:row>
    <x:row r="245">
      <x:c r="A245" s="30" t="str">
        <x:v>À vérifier</x:v>
      </x:c>
      <x:c r="B245" s="30" t="str"/>
      <x:c r="C245" s="31"/>
      <x:c r="D245" s="30" t="str">
        <x:v>Non vérifié</x:v>
      </x:c>
      <x:c r="E245" s="30" t="str"/>
      <x:c r="F245" s="30" t="str"/>
      <x:c r="G245" s="32" t="str"/>
      <x:c r="H245" s="33" t="str">
        <x:f>IF(I245&lt;&gt;"","Doublon possible","")</x:f>
      </x:c>
      <x:c r="I245" s="33" t="str">
        <x:f>IF(COUNTIFS($Y$9:$Y$678,Y245)&gt;1,"Nom + ville",IF(AND(Z245&lt;&gt;"",COUNTIFS($Z$9:$Z$678,Z245)&gt;1),"Téléphone",IF(AND(AA245&lt;&gt;"",COUNTIFS($AA$9:$AA$678,AA245)&gt;1),"Site web","")))</x:f>
      </x:c>
      <x:c r="J245" s="33" t="str">
        <x:v>Boss &amp; Mini studio photo</x:v>
      </x:c>
      <x:c r="K245" s="33" t="str">
        <x:v>Ouvriers</x:v>
      </x:c>
      <x:c r="L245" s="33" t="str">
        <x:v>Manœuvres</x:v>
      </x:c>
      <x:c r="M245" s="33" t="str">
        <x:v>Conakry (à vérifier)</x:v>
      </x:c>
      <x:c r="N245" s="33" t="str"/>
      <x:c r="O245" s="33" t="str"/>
      <x:c r="P245" s="33" t="str">
        <x:v>+224628050481</x:v>
      </x:c>
      <x:c r="Q245" s="33" t="str"/>
      <x:c r="R245" s="33" t="str"/>
      <x:c r="S245" s="33" t="str"/>
      <x:c r="T245" s="35" t="n">
        <x:v>9.715087</x:v>
      </x:c>
      <x:c r="U245" s="35" t="n">
        <x:v>-13.5028436</x:v>
      </x:c>
      <x:c r="V245" s="33" t="str">
        <x:v>https://www.openstreetmap.org/node/5809042244</x:v>
      </x:c>
      <x:c r="W245" s="33" t="str">
        <x:v>node/5809042244</x:v>
      </x:c>
      <x:c r="X245" s="33" t="str">
        <x:v>review_required</x:v>
      </x:c>
      <x:c r="Y245" s="33" t="str">
        <x:v>boss mini studio photo|conakry a verifier</x:v>
      </x:c>
      <x:c r="Z245" s="33" t="str">
        <x:v>224628050481</x:v>
      </x:c>
      <x:c r="AA245" s="33" t="str"/>
    </x:row>
    <x:row r="246">
      <x:c r="A246" s="30" t="str">
        <x:v>À vérifier</x:v>
      </x:c>
      <x:c r="B246" s="30" t="str"/>
      <x:c r="C246" s="31"/>
      <x:c r="D246" s="30" t="str">
        <x:v>Non vérifié</x:v>
      </x:c>
      <x:c r="E246" s="30" t="str"/>
      <x:c r="F246" s="30" t="str"/>
      <x:c r="G246" s="32" t="str"/>
      <x:c r="H246" s="33" t="str">
        <x:f>IF(I246&lt;&gt;"","Doublon possible","")</x:f>
      </x:c>
      <x:c r="I246" s="33" t="str">
        <x:f>IF(COUNTIFS($Y$9:$Y$678,Y246)&gt;1,"Nom + ville",IF(AND(Z246&lt;&gt;"",COUNTIFS($Z$9:$Z$678,Z246)&gt;1),"Téléphone",IF(AND(AA246&lt;&gt;"",COUNTIFS($AA$9:$AA$678,AA246)&gt;1),"Site web","")))</x:f>
      </x:c>
      <x:c r="J246" s="33" t="str">
        <x:v>Cabinet médical d'ophtalmologie</x:v>
      </x:c>
      <x:c r="K246" s="33" t="str">
        <x:v>Ouvriers</x:v>
      </x:c>
      <x:c r="L246" s="33" t="str">
        <x:v>Manœuvres</x:v>
      </x:c>
      <x:c r="M246" s="33" t="str">
        <x:v>Conakry (à vérifier)</x:v>
      </x:c>
      <x:c r="N246" s="33" t="str"/>
      <x:c r="O246" s="33" t="str">
        <x:v>5ème Avenue</x:v>
      </x:c>
      <x:c r="P246" s="33" t="str">
        <x:v>626191919</x:v>
      </x:c>
      <x:c r="Q246" s="33" t="str">
        <x:v>ophtalmoguinee@gmail.com</x:v>
      </x:c>
      <x:c r="R246" s="33" t="str"/>
      <x:c r="S246" s="33" t="str"/>
      <x:c r="T246" s="35" t="n">
        <x:v>9.5081227</x:v>
      </x:c>
      <x:c r="U246" s="35" t="n">
        <x:v>-13.7113184</x:v>
      </x:c>
      <x:c r="V246" s="33" t="str">
        <x:v>https://www.openstreetmap.org/node/8689148196</x:v>
      </x:c>
      <x:c r="W246" s="33" t="str">
        <x:v>node/8689148196</x:v>
      </x:c>
      <x:c r="X246" s="33" t="str">
        <x:v>review_required</x:v>
      </x:c>
      <x:c r="Y246" s="33" t="str">
        <x:v>cabinet medical d ophtalmologie|conakry a verifier</x:v>
      </x:c>
      <x:c r="Z246" s="33" t="str">
        <x:v>224626191919</x:v>
      </x:c>
      <x:c r="AA246" s="33" t="str"/>
    </x:row>
    <x:row r="247">
      <x:c r="A247" s="30" t="str">
        <x:v>À vérifier</x:v>
      </x:c>
      <x:c r="B247" s="30" t="str"/>
      <x:c r="C247" s="31"/>
      <x:c r="D247" s="30" t="str">
        <x:v>Non vérifié</x:v>
      </x:c>
      <x:c r="E247" s="30" t="str"/>
      <x:c r="F247" s="30" t="str"/>
      <x:c r="G247" s="32" t="str"/>
      <x:c r="H247" s="33" t="str">
        <x:f>IF(I247&lt;&gt;"","Doublon possible","")</x:f>
      </x:c>
      <x:c r="I247" s="33" t="str">
        <x:f>IF(COUNTIFS($Y$9:$Y$678,Y247)&gt;1,"Nom + ville",IF(AND(Z247&lt;&gt;"",COUNTIFS($Z$9:$Z$678,Z247)&gt;1),"Téléphone",IF(AND(AA247&lt;&gt;"",COUNTIFS($AA$9:$AA$678,AA247)&gt;1),"Site web","")))</x:f>
      </x:c>
      <x:c r="J247" s="33" t="str">
        <x:v>D. T Melah couture broderie</x:v>
      </x:c>
      <x:c r="K247" s="33" t="str">
        <x:v>Ouvriers</x:v>
      </x:c>
      <x:c r="L247" s="33" t="str">
        <x:v>Manœuvres</x:v>
      </x:c>
      <x:c r="M247" s="33" t="str">
        <x:v>Conakry (à vérifier)</x:v>
      </x:c>
      <x:c r="N247" s="33" t="str"/>
      <x:c r="O247" s="33" t="str"/>
      <x:c r="P247" s="33" t="str">
        <x:v>628590253</x:v>
      </x:c>
      <x:c r="Q247" s="33" t="str"/>
      <x:c r="R247" s="33" t="str"/>
      <x:c r="S247" s="33" t="str"/>
      <x:c r="T247" s="35" t="n">
        <x:v>9.5476694</x:v>
      </x:c>
      <x:c r="U247" s="35" t="n">
        <x:v>-13.6681156</x:v>
      </x:c>
      <x:c r="V247" s="33" t="str">
        <x:v>https://www.openstreetmap.org/node/7296481966</x:v>
      </x:c>
      <x:c r="W247" s="33" t="str">
        <x:v>node/7296481966</x:v>
      </x:c>
      <x:c r="X247" s="33" t="str">
        <x:v>review_required</x:v>
      </x:c>
      <x:c r="Y247" s="33" t="str">
        <x:v>d t melah couture broderie|conakry a verifier</x:v>
      </x:c>
      <x:c r="Z247" s="33" t="str">
        <x:v>224628590253</x:v>
      </x:c>
      <x:c r="AA247" s="33" t="str"/>
    </x:row>
    <x:row r="248">
      <x:c r="A248" s="30" t="str">
        <x:v>À vérifier</x:v>
      </x:c>
      <x:c r="B248" s="30" t="str"/>
      <x:c r="C248" s="31"/>
      <x:c r="D248" s="30" t="str">
        <x:v>Non vérifié</x:v>
      </x:c>
      <x:c r="E248" s="30" t="str"/>
      <x:c r="F248" s="30" t="str"/>
      <x:c r="G248" s="32" t="str"/>
      <x:c r="H248" s="33" t="str">
        <x:f>IF(I248&lt;&gt;"","Doublon possible","")</x:f>
      </x:c>
      <x:c r="I248" s="33" t="str">
        <x:f>IF(COUNTIFS($Y$9:$Y$678,Y248)&gt;1,"Nom + ville",IF(AND(Z248&lt;&gt;"",COUNTIFS($Z$9:$Z$678,Z248)&gt;1),"Téléphone",IF(AND(AA248&lt;&gt;"",COUNTIFS($AA$9:$AA$678,AA248)&gt;1),"Site web","")))</x:f>
      </x:c>
      <x:c r="J248" s="33" t="str">
        <x:v>EDG Agence Kissosso</x:v>
      </x:c>
      <x:c r="K248" s="33" t="str">
        <x:v>Ouvriers</x:v>
      </x:c>
      <x:c r="L248" s="33" t="str">
        <x:v>Manœuvres</x:v>
      </x:c>
      <x:c r="M248" s="33" t="str">
        <x:v>Conakry (à vérifier)</x:v>
      </x:c>
      <x:c r="N248" s="33" t="str"/>
      <x:c r="O248" s="33" t="str">
        <x:v>Sankoumbaya</x:v>
      </x:c>
      <x:c r="P248" s="33" t="str"/>
      <x:c r="Q248" s="33" t="str"/>
      <x:c r="R248" s="33" t="str"/>
      <x:c r="S248" s="33" t="str"/>
      <x:c r="T248" s="35" t="n">
        <x:v>9.6304621</x:v>
      </x:c>
      <x:c r="U248" s="35" t="n">
        <x:v>-13.5740752</x:v>
      </x:c>
      <x:c r="V248" s="33" t="str">
        <x:v>https://www.openstreetmap.org/node/6072823728</x:v>
      </x:c>
      <x:c r="W248" s="33" t="str">
        <x:v>node/6072823728</x:v>
      </x:c>
      <x:c r="X248" s="33" t="str">
        <x:v>review_required</x:v>
      </x:c>
      <x:c r="Y248" s="33" t="str">
        <x:v>edg agence kissosso|conakry a verifier</x:v>
      </x:c>
      <x:c r="Z248" s="33" t="str"/>
      <x:c r="AA248" s="33" t="str"/>
    </x:row>
    <x:row r="249">
      <x:c r="A249" s="30" t="str">
        <x:v>À vérifier</x:v>
      </x:c>
      <x:c r="B249" s="30" t="str"/>
      <x:c r="C249" s="31"/>
      <x:c r="D249" s="30" t="str">
        <x:v>Non vérifié</x:v>
      </x:c>
      <x:c r="E249" s="30" t="str"/>
      <x:c r="F249" s="30" t="str"/>
      <x:c r="G249" s="32" t="str"/>
      <x:c r="H249" s="33" t="str">
        <x:f>IF(I249&lt;&gt;"","Doublon possible","")</x:f>
      </x:c>
      <x:c r="I249" s="33" t="str">
        <x:f>IF(COUNTIFS($Y$9:$Y$678,Y249)&gt;1,"Nom + ville",IF(AND(Z249&lt;&gt;"",COUNTIFS($Z$9:$Z$678,Z249)&gt;1),"Téléphone",IF(AND(AA249&lt;&gt;"",COUNTIFS($AA$9:$AA$678,AA249)&gt;1),"Site web","")))</x:f>
      </x:c>
      <x:c r="J249" s="33" t="str">
        <x:v>Hawa Couture</x:v>
      </x:c>
      <x:c r="K249" s="33" t="str">
        <x:v>Ouvriers</x:v>
      </x:c>
      <x:c r="L249" s="33" t="str">
        <x:v>Manœuvres</x:v>
      </x:c>
      <x:c r="M249" s="33" t="str">
        <x:v>Conakry (à vérifier)</x:v>
      </x:c>
      <x:c r="N249" s="33" t="str"/>
      <x:c r="O249" s="33" t="str"/>
      <x:c r="P249" s="33" t="str">
        <x:v>+224622650261</x:v>
      </x:c>
      <x:c r="Q249" s="33" t="str"/>
      <x:c r="R249" s="33" t="str"/>
      <x:c r="S249" s="33" t="str"/>
      <x:c r="T249" s="35" t="n">
        <x:v>9.6357147</x:v>
      </x:c>
      <x:c r="U249" s="35" t="n">
        <x:v>-13.6122366</x:v>
      </x:c>
      <x:c r="V249" s="33" t="str">
        <x:v>https://www.openstreetmap.org/node/6044920685</x:v>
      </x:c>
      <x:c r="W249" s="33" t="str">
        <x:v>node/6044920685</x:v>
      </x:c>
      <x:c r="X249" s="33" t="str">
        <x:v>review_required</x:v>
      </x:c>
      <x:c r="Y249" s="33" t="str">
        <x:v>hawa couture|conakry a verifier</x:v>
      </x:c>
      <x:c r="Z249" s="33" t="str">
        <x:v>224622650261</x:v>
      </x:c>
      <x:c r="AA249" s="33" t="str"/>
    </x:row>
    <x:row r="250">
      <x:c r="A250" s="30" t="str">
        <x:v>À vérifier</x:v>
      </x:c>
      <x:c r="B250" s="30" t="str"/>
      <x:c r="C250" s="31"/>
      <x:c r="D250" s="30" t="str">
        <x:v>Non vérifié</x:v>
      </x:c>
      <x:c r="E250" s="30" t="str"/>
      <x:c r="F250" s="30" t="str"/>
      <x:c r="G250" s="32" t="str"/>
      <x:c r="H250" s="33" t="str">
        <x:f>IF(I250&lt;&gt;"","Doublon possible","")</x:f>
      </x:c>
      <x:c r="I250" s="33" t="str">
        <x:f>IF(COUNTIFS($Y$9:$Y$678,Y250)&gt;1,"Nom + ville",IF(AND(Z250&lt;&gt;"",COUNTIFS($Z$9:$Z$678,Z250)&gt;1),"Téléphone",IF(AND(AA250&lt;&gt;"",COUNTIFS($AA$9:$AA$678,AA250)&gt;1),"Site web","")))</x:f>
      </x:c>
      <x:c r="J250" s="33" t="str">
        <x:v>Mme Yattara Création</x:v>
      </x:c>
      <x:c r="K250" s="33" t="str">
        <x:v>Ouvriers</x:v>
      </x:c>
      <x:c r="L250" s="33" t="str">
        <x:v>Manœuvres</x:v>
      </x:c>
      <x:c r="M250" s="33" t="str">
        <x:v>Conakry (à vérifier)</x:v>
      </x:c>
      <x:c r="N250" s="33" t="str"/>
      <x:c r="O250" s="33" t="str"/>
      <x:c r="P250" s="33" t="str">
        <x:v>+224622330084</x:v>
      </x:c>
      <x:c r="Q250" s="33" t="str"/>
      <x:c r="R250" s="33" t="str"/>
      <x:c r="S250" s="33" t="str"/>
      <x:c r="T250" s="35" t="n">
        <x:v>9.6623702</x:v>
      </x:c>
      <x:c r="U250" s="35" t="n">
        <x:v>-13.5309355</x:v>
      </x:c>
      <x:c r="V250" s="33" t="str">
        <x:v>https://www.openstreetmap.org/node/5994147918</x:v>
      </x:c>
      <x:c r="W250" s="33" t="str">
        <x:v>node/5994147918</x:v>
      </x:c>
      <x:c r="X250" s="33" t="str">
        <x:v>review_required</x:v>
      </x:c>
      <x:c r="Y250" s="33" t="str">
        <x:v>mme yattara creation|conakry a verifier</x:v>
      </x:c>
      <x:c r="Z250" s="33" t="str">
        <x:v>224622330084</x:v>
      </x:c>
      <x:c r="AA250" s="33" t="str"/>
    </x:row>
    <x:row r="251">
      <x:c r="A251" s="30" t="str">
        <x:v>À vérifier</x:v>
      </x:c>
      <x:c r="B251" s="30" t="str"/>
      <x:c r="C251" s="31"/>
      <x:c r="D251" s="30" t="str">
        <x:v>Non vérifié</x:v>
      </x:c>
      <x:c r="E251" s="30" t="str"/>
      <x:c r="F251" s="30" t="str"/>
      <x:c r="G251" s="32" t="str"/>
      <x:c r="H251" s="33" t="str">
        <x:f>IF(I251&lt;&gt;"","Doublon possible","")</x:f>
      </x:c>
      <x:c r="I251" s="33" t="str">
        <x:f>IF(COUNTIFS($Y$9:$Y$678,Y251)&gt;1,"Nom + ville",IF(AND(Z251&lt;&gt;"",COUNTIFS($Z$9:$Z$678,Z251)&gt;1),"Téléphone",IF(AND(AA251&lt;&gt;"",COUNTIFS($AA$9:$AA$678,AA251)&gt;1),"Site web","")))</x:f>
      </x:c>
      <x:c r="J251" s="33" t="str">
        <x:v>Sira création</x:v>
      </x:c>
      <x:c r="K251" s="33" t="str">
        <x:v>Ouvriers</x:v>
      </x:c>
      <x:c r="L251" s="33" t="str">
        <x:v>Manœuvres</x:v>
      </x:c>
      <x:c r="M251" s="33" t="str">
        <x:v>Conakry (à vérifier)</x:v>
      </x:c>
      <x:c r="N251" s="33" t="str"/>
      <x:c r="O251" s="33" t="str"/>
      <x:c r="P251" s="33" t="str">
        <x:v>+224622614580</x:v>
      </x:c>
      <x:c r="Q251" s="33" t="str"/>
      <x:c r="R251" s="33" t="str"/>
      <x:c r="S251" s="33" t="str"/>
      <x:c r="T251" s="35" t="n">
        <x:v>9.5981704</x:v>
      </x:c>
      <x:c r="U251" s="35" t="n">
        <x:v>-13.6033461</x:v>
      </x:c>
      <x:c r="V251" s="33" t="str">
        <x:v>https://www.openstreetmap.org/node/5827938901</x:v>
      </x:c>
      <x:c r="W251" s="33" t="str">
        <x:v>node/5827938901</x:v>
      </x:c>
      <x:c r="X251" s="33" t="str">
        <x:v>review_required</x:v>
      </x:c>
      <x:c r="Y251" s="33" t="str">
        <x:v>sira creation|conakry a verifier</x:v>
      </x:c>
      <x:c r="Z251" s="33" t="str">
        <x:v>224622614580</x:v>
      </x:c>
      <x:c r="AA251" s="33" t="str"/>
    </x:row>
    <x:row r="252">
      <x:c r="A252" s="30" t="str">
        <x:v>À vérifier</x:v>
      </x:c>
      <x:c r="B252" s="30" t="str"/>
      <x:c r="C252" s="31"/>
      <x:c r="D252" s="30" t="str">
        <x:v>Non vérifié</x:v>
      </x:c>
      <x:c r="E252" s="30" t="str"/>
      <x:c r="F252" s="30" t="str"/>
      <x:c r="G252" s="32" t="str"/>
      <x:c r="H252" s="33" t="str">
        <x:f>IF(I252&lt;&gt;"","Doublon possible","")</x:f>
      </x:c>
      <x:c r="I252" s="33" t="str">
        <x:f>IF(COUNTIFS($Y$9:$Y$678,Y252)&gt;1,"Nom + ville",IF(AND(Z252&lt;&gt;"",COUNTIFS($Z$9:$Z$678,Z252)&gt;1),"Téléphone",IF(AND(AA252&lt;&gt;"",COUNTIFS($AA$9:$AA$678,AA252)&gt;1),"Site web","")))</x:f>
      </x:c>
      <x:c r="J252" s="33" t="str">
        <x:v>Agadir</x:v>
      </x:c>
      <x:c r="K252" s="33" t="str">
        <x:v>Restaurants</x:v>
      </x:c>
      <x:c r="L252" s="33" t="str">
        <x:v>Restaurants</x:v>
      </x:c>
      <x:c r="M252" s="33" t="str">
        <x:v>Conakry (à vérifier)</x:v>
      </x:c>
      <x:c r="N252" s="33" t="str"/>
      <x:c r="O252" s="33" t="str"/>
      <x:c r="P252" s="33" t="str">
        <x:v>664606025</x:v>
      </x:c>
      <x:c r="Q252" s="33" t="str"/>
      <x:c r="R252" s="33" t="str"/>
      <x:c r="S252" s="33" t="str"/>
      <x:c r="T252" s="35" t="n">
        <x:v>9.5082284</x:v>
      </x:c>
      <x:c r="U252" s="35" t="n">
        <x:v>-13.7149335</x:v>
      </x:c>
      <x:c r="V252" s="33" t="str">
        <x:v>https://www.openstreetmap.org/node/5246176356</x:v>
      </x:c>
      <x:c r="W252" s="33" t="str">
        <x:v>node/5246176356</x:v>
      </x:c>
      <x:c r="X252" s="33" t="str">
        <x:v>review_required</x:v>
      </x:c>
      <x:c r="Y252" s="33" t="str">
        <x:v>agadir|conakry a verifier</x:v>
      </x:c>
      <x:c r="Z252" s="33" t="str">
        <x:v>224664606025</x:v>
      </x:c>
      <x:c r="AA252" s="33" t="str"/>
    </x:row>
    <x:row r="253">
      <x:c r="A253" s="30" t="str">
        <x:v>À vérifier</x:v>
      </x:c>
      <x:c r="B253" s="30" t="str"/>
      <x:c r="C253" s="31"/>
      <x:c r="D253" s="30" t="str">
        <x:v>Non vérifié</x:v>
      </x:c>
      <x:c r="E253" s="30" t="str"/>
      <x:c r="F253" s="30" t="str"/>
      <x:c r="G253" s="32" t="str"/>
      <x:c r="H253" s="33" t="str">
        <x:f>IF(I253&lt;&gt;"","Doublon possible","")</x:f>
      </x:c>
      <x:c r="I253" s="33" t="str">
        <x:f>IF(COUNTIFS($Y$9:$Y$678,Y253)&gt;1,"Nom + ville",IF(AND(Z253&lt;&gt;"",COUNTIFS($Z$9:$Z$678,Z253)&gt;1),"Téléphone",IF(AND(AA253&lt;&gt;"",COUNTIFS($AA$9:$AA$678,AA253)&gt;1),"Site web","")))</x:f>
      </x:c>
      <x:c r="J253" s="33" t="str">
        <x:v>BacioNero</x:v>
      </x:c>
      <x:c r="K253" s="33" t="str">
        <x:v>Restaurants</x:v>
      </x:c>
      <x:c r="L253" s="33" t="str">
        <x:v>Restaurants</x:v>
      </x:c>
      <x:c r="M253" s="33" t="str">
        <x:v>Conakry (à vérifier)</x:v>
      </x:c>
      <x:c r="N253" s="33" t="str"/>
      <x:c r="O253" s="33" t="str"/>
      <x:c r="P253" s="33" t="str"/>
      <x:c r="Q253" s="33" t="str"/>
      <x:c r="R253" s="33" t="str">
        <x:v>https://www.bacionero.com/</x:v>
      </x:c>
      <x:c r="S253" s="33" t="str"/>
      <x:c r="T253" s="35" t="n">
        <x:v>9.606362</x:v>
      </x:c>
      <x:c r="U253" s="35" t="n">
        <x:v>-13.6501983</x:v>
      </x:c>
      <x:c r="V253" s="33" t="str">
        <x:v>https://www.openstreetmap.org/node/6766364731</x:v>
      </x:c>
      <x:c r="W253" s="33" t="str">
        <x:v>node/6766364731</x:v>
      </x:c>
      <x:c r="X253" s="33" t="str">
        <x:v>review_required</x:v>
      </x:c>
      <x:c r="Y253" s="33" t="str">
        <x:v>bacionero|conakry a verifier</x:v>
      </x:c>
      <x:c r="Z253" s="33" t="str"/>
      <x:c r="AA253" s="33" t="str">
        <x:v>bacionero.com</x:v>
      </x:c>
    </x:row>
    <x:row r="254">
      <x:c r="A254" s="30" t="str">
        <x:v>À vérifier</x:v>
      </x:c>
      <x:c r="B254" s="30" t="str"/>
      <x:c r="C254" s="31"/>
      <x:c r="D254" s="30" t="str">
        <x:v>Non vérifié</x:v>
      </x:c>
      <x:c r="E254" s="30" t="str"/>
      <x:c r="F254" s="30" t="str"/>
      <x:c r="G254" s="32" t="str"/>
      <x:c r="H254" s="33" t="str">
        <x:f>IF(I254&lt;&gt;"","Doublon possible","")</x:f>
      </x:c>
      <x:c r="I254" s="33" t="str">
        <x:f>IF(COUNTIFS($Y$9:$Y$678,Y254)&gt;1,"Nom + ville",IF(AND(Z254&lt;&gt;"",COUNTIFS($Z$9:$Z$678,Z254)&gt;1),"Téléphone",IF(AND(AA254&lt;&gt;"",COUNTIFS($AA$9:$AA$678,AA254)&gt;1),"Site web","")))</x:f>
      </x:c>
      <x:c r="J254" s="33" t="str">
        <x:v>BERLINER LOUNGE &amp; RESTAURANT</x:v>
      </x:c>
      <x:c r="K254" s="33" t="str">
        <x:v>Restaurants</x:v>
      </x:c>
      <x:c r="L254" s="33" t="str">
        <x:v>Restaurants</x:v>
      </x:c>
      <x:c r="M254" s="33" t="str">
        <x:v>Conakry, Guinea</x:v>
      </x:c>
      <x:c r="N254" s="33" t="str"/>
      <x:c r="O254" s="33" t="str">
        <x:v>Kipé</x:v>
      </x:c>
      <x:c r="P254" s="33" t="str">
        <x:v>00224620883811</x:v>
      </x:c>
      <x:c r="Q254" s="33" t="str"/>
      <x:c r="R254" s="33" t="str"/>
      <x:c r="S254" s="33" t="str"/>
      <x:c r="T254" s="35" t="n">
        <x:v>9.6030478</x:v>
      </x:c>
      <x:c r="U254" s="35" t="n">
        <x:v>-13.6409287</x:v>
      </x:c>
      <x:c r="V254" s="33" t="str">
        <x:v>https://www.openstreetmap.org/way/558668599</x:v>
      </x:c>
      <x:c r="W254" s="33" t="str">
        <x:v>way/558668599</x:v>
      </x:c>
      <x:c r="X254" s="33" t="str">
        <x:v>review_required</x:v>
      </x:c>
      <x:c r="Y254" s="33" t="str">
        <x:v>berliner lounge restaurant|conakry guinea</x:v>
      </x:c>
      <x:c r="Z254" s="33" t="str">
        <x:v>224620883811</x:v>
      </x:c>
      <x:c r="AA254" s="33" t="str"/>
    </x:row>
    <x:row r="255">
      <x:c r="A255" s="30" t="str">
        <x:v>À vérifier</x:v>
      </x:c>
      <x:c r="B255" s="30" t="str"/>
      <x:c r="C255" s="31"/>
      <x:c r="D255" s="30" t="str">
        <x:v>Non vérifié</x:v>
      </x:c>
      <x:c r="E255" s="30" t="str"/>
      <x:c r="F255" s="30" t="str"/>
      <x:c r="G255" s="32" t="str"/>
      <x:c r="H255" s="33" t="str">
        <x:f>IF(I255&lt;&gt;"","Doublon possible","")</x:f>
      </x:c>
      <x:c r="I255" s="33" t="str">
        <x:f>IF(COUNTIFS($Y$9:$Y$678,Y255)&gt;1,"Nom + ville",IF(AND(Z255&lt;&gt;"",COUNTIFS($Z$9:$Z$678,Z255)&gt;1),"Téléphone",IF(AND(AA255&lt;&gt;"",COUNTIFS($AA$9:$AA$678,AA255)&gt;1),"Site web","")))</x:f>
      </x:c>
      <x:c r="J255" s="33" t="str">
        <x:v>BIG Fataya</x:v>
      </x:c>
      <x:c r="K255" s="33" t="str">
        <x:v>Restaurants</x:v>
      </x:c>
      <x:c r="L255" s="33" t="str">
        <x:v>Restaurants</x:v>
      </x:c>
      <x:c r="M255" s="33" t="str">
        <x:v>Conakry (à vérifier)</x:v>
      </x:c>
      <x:c r="N255" s="33" t="str"/>
      <x:c r="O255" s="33" t="str"/>
      <x:c r="P255" s="33" t="str">
        <x:v>622073838</x:v>
      </x:c>
      <x:c r="Q255" s="33" t="str"/>
      <x:c r="R255" s="33" t="str"/>
      <x:c r="S255" s="33" t="str"/>
      <x:c r="T255" s="35" t="n">
        <x:v>9.6283926</x:v>
      </x:c>
      <x:c r="U255" s="35" t="n">
        <x:v>-13.6317832</x:v>
      </x:c>
      <x:c r="V255" s="33" t="str">
        <x:v>https://www.openstreetmap.org/node/7816226945</x:v>
      </x:c>
      <x:c r="W255" s="33" t="str">
        <x:v>node/7816226945</x:v>
      </x:c>
      <x:c r="X255" s="33" t="str">
        <x:v>review_required</x:v>
      </x:c>
      <x:c r="Y255" s="33" t="str">
        <x:v>big fataya|conakry a verifier</x:v>
      </x:c>
      <x:c r="Z255" s="33" t="str">
        <x:v>224622073838</x:v>
      </x:c>
      <x:c r="AA255" s="33" t="str"/>
    </x:row>
    <x:row r="256">
      <x:c r="A256" s="30" t="str">
        <x:v>À vérifier</x:v>
      </x:c>
      <x:c r="B256" s="30" t="str"/>
      <x:c r="C256" s="31"/>
      <x:c r="D256" s="30" t="str">
        <x:v>Non vérifié</x:v>
      </x:c>
      <x:c r="E256" s="30" t="str"/>
      <x:c r="F256" s="30" t="str"/>
      <x:c r="G256" s="32" t="str"/>
      <x:c r="H256" s="33" t="str">
        <x:f>IF(I256&lt;&gt;"","Doublon possible","")</x:f>
      </x:c>
      <x:c r="I256" s="33" t="str">
        <x:f>IF(COUNTIFS($Y$9:$Y$678,Y256)&gt;1,"Nom + ville",IF(AND(Z256&lt;&gt;"",COUNTIFS($Z$9:$Z$678,Z256)&gt;1),"Téléphone",IF(AND(AA256&lt;&gt;"",COUNTIFS($AA$9:$AA$678,AA256)&gt;1),"Site web","")))</x:f>
      </x:c>
      <x:c r="J256" s="33" t="str">
        <x:v>Black and white</x:v>
      </x:c>
      <x:c r="K256" s="33" t="str">
        <x:v>Restaurants</x:v>
      </x:c>
      <x:c r="L256" s="33" t="str">
        <x:v>Restaurants</x:v>
      </x:c>
      <x:c r="M256" s="33" t="str">
        <x:v>Conakry (à vérifier)</x:v>
      </x:c>
      <x:c r="N256" s="33" t="str"/>
      <x:c r="O256" s="33" t="str"/>
      <x:c r="P256" s="33" t="str">
        <x:v>621011805</x:v>
      </x:c>
      <x:c r="Q256" s="33" t="str"/>
      <x:c r="R256" s="33" t="str"/>
      <x:c r="S256" s="33" t="str"/>
      <x:c r="T256" s="35" t="n">
        <x:v>9.5362263</x:v>
      </x:c>
      <x:c r="U256" s="35" t="n">
        <x:v>-13.6774146</x:v>
      </x:c>
      <x:c r="V256" s="33" t="str">
        <x:v>https://www.openstreetmap.org/node/10240000108</x:v>
      </x:c>
      <x:c r="W256" s="33" t="str">
        <x:v>node/10240000108</x:v>
      </x:c>
      <x:c r="X256" s="33" t="str">
        <x:v>review_required</x:v>
      </x:c>
      <x:c r="Y256" s="33" t="str">
        <x:v>black and white|conakry a verifier</x:v>
      </x:c>
      <x:c r="Z256" s="33" t="str">
        <x:v>224621011805</x:v>
      </x:c>
      <x:c r="AA256" s="33" t="str"/>
    </x:row>
    <x:row r="257">
      <x:c r="A257" s="30" t="str">
        <x:v>À vérifier</x:v>
      </x:c>
      <x:c r="B257" s="30" t="str"/>
      <x:c r="C257" s="31"/>
      <x:c r="D257" s="30" t="str">
        <x:v>Non vérifié</x:v>
      </x:c>
      <x:c r="E257" s="30" t="str"/>
      <x:c r="F257" s="30" t="str"/>
      <x:c r="G257" s="32" t="str"/>
      <x:c r="H257" s="33" t="str">
        <x:f>IF(I257&lt;&gt;"","Doublon possible","")</x:f>
      </x:c>
      <x:c r="I257" s="33" t="str">
        <x:f>IF(COUNTIFS($Y$9:$Y$678,Y257)&gt;1,"Nom + ville",IF(AND(Z257&lt;&gt;"",COUNTIFS($Z$9:$Z$678,Z257)&gt;1),"Téléphone",IF(AND(AA257&lt;&gt;"",COUNTIFS($AA$9:$AA$678,AA257)&gt;1),"Site web","")))</x:f>
      </x:c>
      <x:c r="J257" s="33" t="str">
        <x:v>Brasserie des Arts</x:v>
      </x:c>
      <x:c r="K257" s="33" t="str">
        <x:v>Restaurants</x:v>
      </x:c>
      <x:c r="L257" s="33" t="str">
        <x:v>Restaurants</x:v>
      </x:c>
      <x:c r="M257" s="33" t="str">
        <x:v>Conakry (à vérifier)</x:v>
      </x:c>
      <x:c r="N257" s="33" t="str"/>
      <x:c r="O257" s="33" t="str"/>
      <x:c r="P257" s="33" t="str">
        <x:v>+224 662193540</x:v>
      </x:c>
      <x:c r="Q257" s="33" t="str"/>
      <x:c r="R257" s="33" t="str"/>
      <x:c r="S257" s="33" t="str"/>
      <x:c r="T257" s="35" t="n">
        <x:v>9.5247835</x:v>
      </x:c>
      <x:c r="U257" s="35" t="n">
        <x:v>-13.6893421</x:v>
      </x:c>
      <x:c r="V257" s="33" t="str">
        <x:v>https://www.openstreetmap.org/node/5996728969</x:v>
      </x:c>
      <x:c r="W257" s="33" t="str">
        <x:v>node/5996728969</x:v>
      </x:c>
      <x:c r="X257" s="33" t="str">
        <x:v>review_required</x:v>
      </x:c>
      <x:c r="Y257" s="33" t="str">
        <x:v>brasserie des arts|conakry a verifier</x:v>
      </x:c>
      <x:c r="Z257" s="33" t="str">
        <x:v>224662193540</x:v>
      </x:c>
      <x:c r="AA257" s="33" t="str"/>
    </x:row>
    <x:row r="258">
      <x:c r="A258" s="30" t="str">
        <x:v>À vérifier</x:v>
      </x:c>
      <x:c r="B258" s="30" t="str"/>
      <x:c r="C258" s="31"/>
      <x:c r="D258" s="30" t="str">
        <x:v>Non vérifié</x:v>
      </x:c>
      <x:c r="E258" s="30" t="str"/>
      <x:c r="F258" s="30" t="str"/>
      <x:c r="G258" s="32" t="str"/>
      <x:c r="H258" s="33" t="str">
        <x:f>IF(I258&lt;&gt;"","Doublon possible","")</x:f>
      </x:c>
      <x:c r="I258" s="33" t="str">
        <x:f>IF(COUNTIFS($Y$9:$Y$678,Y258)&gt;1,"Nom + ville",IF(AND(Z258&lt;&gt;"",COUNTIFS($Z$9:$Z$678,Z258)&gt;1),"Téléphone",IF(AND(AA258&lt;&gt;"",COUNTIFS($AA$9:$AA$678,AA258)&gt;1),"Site web","")))</x:f>
      </x:c>
      <x:c r="J258" s="33" t="str">
        <x:v>Brioche de Kipé</x:v>
      </x:c>
      <x:c r="K258" s="33" t="str">
        <x:v>Restaurants</x:v>
      </x:c>
      <x:c r="L258" s="33" t="str">
        <x:v>Fast-food</x:v>
      </x:c>
      <x:c r="M258" s="33" t="str">
        <x:v>Conakry (à vérifier)</x:v>
      </x:c>
      <x:c r="N258" s="33" t="str"/>
      <x:c r="O258" s="33" t="str"/>
      <x:c r="P258" s="33" t="str">
        <x:v>626636629</x:v>
      </x:c>
      <x:c r="Q258" s="33" t="str">
        <x:v>labriochedekipe@yahoo.fr</x:v>
      </x:c>
      <x:c r="R258" s="33" t="str"/>
      <x:c r="S258" s="33" t="str"/>
      <x:c r="T258" s="35" t="n">
        <x:v>9.6051646</x:v>
      </x:c>
      <x:c r="U258" s="35" t="n">
        <x:v>-13.6445322</x:v>
      </x:c>
      <x:c r="V258" s="33" t="str">
        <x:v>https://www.openstreetmap.org/node/4278562577</x:v>
      </x:c>
      <x:c r="W258" s="33" t="str">
        <x:v>node/4278562577</x:v>
      </x:c>
      <x:c r="X258" s="33" t="str">
        <x:v>review_required</x:v>
      </x:c>
      <x:c r="Y258" s="33" t="str">
        <x:v>brioche de kipe|conakry a verifier</x:v>
      </x:c>
      <x:c r="Z258" s="33" t="str">
        <x:v>224626636629</x:v>
      </x:c>
      <x:c r="AA258" s="33" t="str"/>
    </x:row>
    <x:row r="259">
      <x:c r="A259" s="30" t="str">
        <x:v>À vérifier</x:v>
      </x:c>
      <x:c r="B259" s="30" t="str"/>
      <x:c r="C259" s="31"/>
      <x:c r="D259" s="30" t="str">
        <x:v>Non vérifié</x:v>
      </x:c>
      <x:c r="E259" s="30" t="str"/>
      <x:c r="F259" s="30" t="str"/>
      <x:c r="G259" s="32" t="str"/>
      <x:c r="H259" s="33" t="str">
        <x:f>IF(I259&lt;&gt;"","Doublon possible","")</x:f>
      </x:c>
      <x:c r="I259" s="33" t="str">
        <x:f>IF(COUNTIFS($Y$9:$Y$678,Y259)&gt;1,"Nom + ville",IF(AND(Z259&lt;&gt;"",COUNTIFS($Z$9:$Z$678,Z259)&gt;1),"Téléphone",IF(AND(AA259&lt;&gt;"",COUNTIFS($AA$9:$AA$678,AA259)&gt;1),"Site web","")))</x:f>
      </x:c>
      <x:c r="J259" s="33" t="str">
        <x:v>Café Diaspora</x:v>
      </x:c>
      <x:c r="K259" s="33" t="str">
        <x:v>Restaurants</x:v>
      </x:c>
      <x:c r="L259" s="33" t="str">
        <x:v>Restaurants</x:v>
      </x:c>
      <x:c r="M259" s="33" t="str">
        <x:v>Conakry (à vérifier)</x:v>
      </x:c>
      <x:c r="N259" s="33" t="str"/>
      <x:c r="O259" s="33" t="str"/>
      <x:c r="P259" s="33" t="str">
        <x:v>+224627028783</x:v>
      </x:c>
      <x:c r="Q259" s="33" t="str"/>
      <x:c r="R259" s="33" t="str"/>
      <x:c r="S259" s="33" t="str"/>
      <x:c r="T259" s="35" t="n">
        <x:v>9.6139307</x:v>
      </x:c>
      <x:c r="U259" s="35" t="n">
        <x:v>-13.5897808</x:v>
      </x:c>
      <x:c r="V259" s="33" t="str">
        <x:v>https://www.openstreetmap.org/node/5481199981</x:v>
      </x:c>
      <x:c r="W259" s="33" t="str">
        <x:v>node/5481199981</x:v>
      </x:c>
      <x:c r="X259" s="33" t="str">
        <x:v>review_required</x:v>
      </x:c>
      <x:c r="Y259" s="33" t="str">
        <x:v>cafe diaspora|conakry a verifier</x:v>
      </x:c>
      <x:c r="Z259" s="33" t="str">
        <x:v>224627028783</x:v>
      </x:c>
      <x:c r="AA259" s="33" t="str"/>
    </x:row>
    <x:row r="260">
      <x:c r="A260" s="30" t="str">
        <x:v>À vérifier</x:v>
      </x:c>
      <x:c r="B260" s="30" t="str"/>
      <x:c r="C260" s="31"/>
      <x:c r="D260" s="30" t="str">
        <x:v>Non vérifié</x:v>
      </x:c>
      <x:c r="E260" s="30" t="str"/>
      <x:c r="F260" s="30" t="str"/>
      <x:c r="G260" s="32" t="str"/>
      <x:c r="H260" s="33" t="str">
        <x:f>IF(I260&lt;&gt;"","Doublon possible","")</x:f>
        <x:v>Doublon possible</x:v>
      </x:c>
      <x:c r="I260" s="33" t="str">
        <x:f>IF(COUNTIFS($Y$9:$Y$678,Y260)&gt;1,"Nom + ville",IF(AND(Z260&lt;&gt;"",COUNTIFS($Z$9:$Z$678,Z260)&gt;1),"Téléphone",IF(AND(AA260&lt;&gt;"",COUNTIFS($AA$9:$AA$678,AA260)&gt;1),"Site web","")))</x:f>
        <x:v>Nom + ville</x:v>
      </x:c>
      <x:c r="J260" s="33" t="str">
        <x:v>Café PMU</x:v>
      </x:c>
      <x:c r="K260" s="33" t="str">
        <x:v>Restaurants</x:v>
      </x:c>
      <x:c r="L260" s="33" t="str">
        <x:v>Cafés</x:v>
      </x:c>
      <x:c r="M260" s="33" t="str">
        <x:v>Conakry (à vérifier)</x:v>
      </x:c>
      <x:c r="N260" s="33" t="str"/>
      <x:c r="O260" s="33" t="str"/>
      <x:c r="P260" s="33" t="str">
        <x:v>627357724</x:v>
      </x:c>
      <x:c r="Q260" s="33" t="str"/>
      <x:c r="R260" s="33" t="str"/>
      <x:c r="S260" s="33" t="str"/>
      <x:c r="T260" s="35" t="n">
        <x:v>9.6782987</x:v>
      </x:c>
      <x:c r="U260" s="35" t="n">
        <x:v>-13.5425783</x:v>
      </x:c>
      <x:c r="V260" s="33" t="str">
        <x:v>https://www.openstreetmap.org/node/8425510697</x:v>
      </x:c>
      <x:c r="W260" s="33" t="str">
        <x:v>node/8425510697</x:v>
      </x:c>
      <x:c r="X260" s="33" t="str">
        <x:v>review_required</x:v>
      </x:c>
      <x:c r="Y260" s="33" t="str">
        <x:v>cafe pmu|conakry a verifier</x:v>
      </x:c>
      <x:c r="Z260" s="33" t="str">
        <x:v>224627357724</x:v>
      </x:c>
      <x:c r="AA260" s="33" t="str"/>
    </x:row>
    <x:row r="261">
      <x:c r="A261" s="30" t="str">
        <x:v>À vérifier</x:v>
      </x:c>
      <x:c r="B261" s="30" t="str"/>
      <x:c r="C261" s="31"/>
      <x:c r="D261" s="30" t="str">
        <x:v>Non vérifié</x:v>
      </x:c>
      <x:c r="E261" s="30" t="str"/>
      <x:c r="F261" s="30" t="str"/>
      <x:c r="G261" s="32" t="str"/>
      <x:c r="H261" s="33" t="str">
        <x:f>IF(I261&lt;&gt;"","Doublon possible","")</x:f>
      </x:c>
      <x:c r="I261" s="33" t="str">
        <x:f>IF(COUNTIFS($Y$9:$Y$678,Y261)&gt;1,"Nom + ville",IF(AND(Z261&lt;&gt;"",COUNTIFS($Z$9:$Z$678,Z261)&gt;1),"Téléphone",IF(AND(AA261&lt;&gt;"",COUNTIFS($AA$9:$AA$678,AA261)&gt;1),"Site web","")))</x:f>
      </x:c>
      <x:c r="J261" s="33" t="str">
        <x:v>Café_Bar Mouctar Bah</x:v>
      </x:c>
      <x:c r="K261" s="33" t="str">
        <x:v>Restaurants</x:v>
      </x:c>
      <x:c r="L261" s="33" t="str">
        <x:v>Cafés</x:v>
      </x:c>
      <x:c r="M261" s="33" t="str">
        <x:v>Conakry (à vérifier)</x:v>
      </x:c>
      <x:c r="N261" s="33" t="str"/>
      <x:c r="O261" s="33" t="str"/>
      <x:c r="P261" s="33" t="str">
        <x:v>+224624331139</x:v>
      </x:c>
      <x:c r="Q261" s="33" t="str"/>
      <x:c r="R261" s="33" t="str"/>
      <x:c r="S261" s="33" t="str"/>
      <x:c r="T261" s="35" t="n">
        <x:v>9.6707148</x:v>
      </x:c>
      <x:c r="U261" s="35" t="n">
        <x:v>-13.5813667</x:v>
      </x:c>
      <x:c r="V261" s="33" t="str">
        <x:v>https://www.openstreetmap.org/node/6898677769</x:v>
      </x:c>
      <x:c r="W261" s="33" t="str">
        <x:v>node/6898677769</x:v>
      </x:c>
      <x:c r="X261" s="33" t="str">
        <x:v>review_required</x:v>
      </x:c>
      <x:c r="Y261" s="33" t="str">
        <x:v>cafe bar mouctar bah|conakry a verifier</x:v>
      </x:c>
      <x:c r="Z261" s="33" t="str">
        <x:v>224624331139</x:v>
      </x:c>
      <x:c r="AA261" s="33" t="str"/>
    </x:row>
    <x:row r="262">
      <x:c r="A262" s="30" t="str">
        <x:v>À vérifier</x:v>
      </x:c>
      <x:c r="B262" s="30" t="str"/>
      <x:c r="C262" s="31"/>
      <x:c r="D262" s="30" t="str">
        <x:v>Non vérifié</x:v>
      </x:c>
      <x:c r="E262" s="30" t="str"/>
      <x:c r="F262" s="30" t="str"/>
      <x:c r="G262" s="32" t="str"/>
      <x:c r="H262" s="33" t="str">
        <x:f>IF(I262&lt;&gt;"","Doublon possible","")</x:f>
        <x:v>Doublon possible</x:v>
      </x:c>
      <x:c r="I262" s="33" t="str">
        <x:f>IF(COUNTIFS($Y$9:$Y$678,Y262)&gt;1,"Nom + ville",IF(AND(Z262&lt;&gt;"",COUNTIFS($Z$9:$Z$678,Z262)&gt;1),"Téléphone",IF(AND(AA262&lt;&gt;"",COUNTIFS($AA$9:$AA$678,AA262)&gt;1),"Site web","")))</x:f>
        <x:v>Nom + ville</x:v>
      </x:c>
      <x:c r="J262" s="33" t="str">
        <x:v>CFGEA White Chillies</x:v>
      </x:c>
      <x:c r="K262" s="33" t="str">
        <x:v>Restaurants</x:v>
      </x:c>
      <x:c r="L262" s="33" t="str">
        <x:v>Restaurants</x:v>
      </x:c>
      <x:c r="M262" s="33" t="str">
        <x:v>Conakry (à vérifier)</x:v>
      </x:c>
      <x:c r="N262" s="33" t="str"/>
      <x:c r="O262" s="33" t="str"/>
      <x:c r="P262" s="33" t="str"/>
      <x:c r="Q262" s="33" t="str"/>
      <x:c r="R262" s="33" t="str">
        <x:v>https://www.facebook.com/CFGEA-White-Chillies-104740661275523/</x:v>
      </x:c>
      <x:c r="S262" s="33" t="str"/>
      <x:c r="T262" s="35" t="n">
        <x:v>9.6797303</x:v>
      </x:c>
      <x:c r="U262" s="35" t="n">
        <x:v>-13.5159098</x:v>
      </x:c>
      <x:c r="V262" s="33" t="str">
        <x:v>https://www.openstreetmap.org/node/7599951277</x:v>
      </x:c>
      <x:c r="W262" s="33" t="str">
        <x:v>node/7599951277</x:v>
      </x:c>
      <x:c r="X262" s="33" t="str">
        <x:v>review_required</x:v>
      </x:c>
      <x:c r="Y262" s="33" t="str">
        <x:v>cfgea white chillies|conakry a verifier</x:v>
      </x:c>
      <x:c r="Z262" s="33" t="str"/>
      <x:c r="AA262" s="33" t="str">
        <x:v>facebook.com/cfgea-white-chillies-104740661275523</x:v>
      </x:c>
    </x:row>
    <x:row r="263">
      <x:c r="A263" s="30" t="str">
        <x:v>À vérifier</x:v>
      </x:c>
      <x:c r="B263" s="30" t="str"/>
      <x:c r="C263" s="31"/>
      <x:c r="D263" s="30" t="str">
        <x:v>Non vérifié</x:v>
      </x:c>
      <x:c r="E263" s="30" t="str"/>
      <x:c r="F263" s="30" t="str"/>
      <x:c r="G263" s="32" t="str"/>
      <x:c r="H263" s="33" t="str">
        <x:f>IF(I263&lt;&gt;"","Doublon possible","")</x:f>
        <x:v>Doublon possible</x:v>
      </x:c>
      <x:c r="I263" s="33" t="str">
        <x:f>IF(COUNTIFS($Y$9:$Y$678,Y263)&gt;1,"Nom + ville",IF(AND(Z263&lt;&gt;"",COUNTIFS($Z$9:$Z$678,Z263)&gt;1),"Téléphone",IF(AND(AA263&lt;&gt;"",COUNTIFS($AA$9:$AA$678,AA263)&gt;1),"Site web","")))</x:f>
        <x:v>Nom + ville</x:v>
      </x:c>
      <x:c r="J263" s="33" t="str">
        <x:v>CFGEA White Chillies</x:v>
      </x:c>
      <x:c r="K263" s="33" t="str">
        <x:v>Restaurants</x:v>
      </x:c>
      <x:c r="L263" s="33" t="str">
        <x:v>Restaurants</x:v>
      </x:c>
      <x:c r="M263" s="33" t="str">
        <x:v>Conakry (à vérifier)</x:v>
      </x:c>
      <x:c r="N263" s="33" t="str"/>
      <x:c r="O263" s="33" t="str"/>
      <x:c r="P263" s="33" t="str"/>
      <x:c r="Q263" s="33" t="str"/>
      <x:c r="R263" s="33" t="str">
        <x:v>https://m.facebook.com/CFGEA-White-Chillies-104740661275523/?ref=page_internal&amp;mt_nav=0</x:v>
      </x:c>
      <x:c r="S263" s="33" t="str"/>
      <x:c r="T263" s="35" t="n">
        <x:v>9.6797249</x:v>
      </x:c>
      <x:c r="U263" s="35" t="n">
        <x:v>-13.5159084</x:v>
      </x:c>
      <x:c r="V263" s="33" t="str">
        <x:v>https://www.openstreetmap.org/node/7600503904</x:v>
      </x:c>
      <x:c r="W263" s="33" t="str">
        <x:v>node/7600503904</x:v>
      </x:c>
      <x:c r="X263" s="33" t="str">
        <x:v>review_required</x:v>
      </x:c>
      <x:c r="Y263" s="33" t="str">
        <x:v>cfgea white chillies|conakry a verifier</x:v>
      </x:c>
      <x:c r="Z263" s="33" t="str"/>
      <x:c r="AA263" s="33" t="str">
        <x:v>m.facebook.com/cfgea-white-chillies-104740661275523</x:v>
      </x:c>
    </x:row>
    <x:row r="264">
      <x:c r="A264" s="30" t="str">
        <x:v>À vérifier</x:v>
      </x:c>
      <x:c r="B264" s="30" t="str"/>
      <x:c r="C264" s="31"/>
      <x:c r="D264" s="30" t="str">
        <x:v>Non vérifié</x:v>
      </x:c>
      <x:c r="E264" s="30" t="str"/>
      <x:c r="F264" s="30" t="str"/>
      <x:c r="G264" s="32" t="str"/>
      <x:c r="H264" s="33" t="str">
        <x:f>IF(I264&lt;&gt;"","Doublon possible","")</x:f>
      </x:c>
      <x:c r="I264" s="33" t="str">
        <x:f>IF(COUNTIFS($Y$9:$Y$678,Y264)&gt;1,"Nom + ville",IF(AND(Z264&lt;&gt;"",COUNTIFS($Z$9:$Z$678,Z264)&gt;1),"Téléphone",IF(AND(AA264&lt;&gt;"",COUNTIFS($AA$9:$AA$678,AA264)&gt;1),"Site web","")))</x:f>
      </x:c>
      <x:c r="J264" s="33" t="str">
        <x:v>Chez Mon Ami</x:v>
      </x:c>
      <x:c r="K264" s="33" t="str">
        <x:v>Restaurants</x:v>
      </x:c>
      <x:c r="L264" s="33" t="str">
        <x:v>Restaurants</x:v>
      </x:c>
      <x:c r="M264" s="33" t="str">
        <x:v>Conakry (à vérifier)</x:v>
      </x:c>
      <x:c r="N264" s="33" t="str"/>
      <x:c r="O264" s="33" t="str"/>
      <x:c r="P264" s="33" t="str">
        <x:v>+224627027979</x:v>
      </x:c>
      <x:c r="Q264" s="33" t="str"/>
      <x:c r="R264" s="33" t="str"/>
      <x:c r="S264" s="33" t="str"/>
      <x:c r="T264" s="35" t="n">
        <x:v>9.5309516</x:v>
      </x:c>
      <x:c r="U264" s="35" t="n">
        <x:v>-13.6877229</x:v>
      </x:c>
      <x:c r="V264" s="33" t="str">
        <x:v>https://www.openstreetmap.org/node/5861167954</x:v>
      </x:c>
      <x:c r="W264" s="33" t="str">
        <x:v>node/5861167954</x:v>
      </x:c>
      <x:c r="X264" s="33" t="str">
        <x:v>review_required</x:v>
      </x:c>
      <x:c r="Y264" s="33" t="str">
        <x:v>chez mon ami|conakry a verifier</x:v>
      </x:c>
      <x:c r="Z264" s="33" t="str">
        <x:v>224627027979</x:v>
      </x:c>
      <x:c r="AA264" s="33" t="str"/>
    </x:row>
    <x:row r="265">
      <x:c r="A265" s="30" t="str">
        <x:v>À vérifier</x:v>
      </x:c>
      <x:c r="B265" s="30" t="str"/>
      <x:c r="C265" s="31"/>
      <x:c r="D265" s="30" t="str">
        <x:v>Non vérifié</x:v>
      </x:c>
      <x:c r="E265" s="30" t="str"/>
      <x:c r="F265" s="30" t="str"/>
      <x:c r="G265" s="32" t="str"/>
      <x:c r="H265" s="33" t="str">
        <x:f>IF(I265&lt;&gt;"","Doublon possible","")</x:f>
        <x:v>Doublon possible</x:v>
      </x:c>
      <x:c r="I265" s="33" t="str">
        <x:f>IF(COUNTIFS($Y$9:$Y$678,Y265)&gt;1,"Nom + ville",IF(AND(Z265&lt;&gt;"",COUNTIFS($Z$9:$Z$678,Z265)&gt;1),"Téléphone",IF(AND(AA265&lt;&gt;"",COUNTIFS($AA$9:$AA$678,AA265)&gt;1),"Site web","")))</x:f>
        <x:v>Téléphone</x:v>
      </x:c>
      <x:c r="J265" s="33" t="str">
        <x:v>City Market Four Donka</x:v>
      </x:c>
      <x:c r="K265" s="33" t="str">
        <x:v>Restaurants</x:v>
      </x:c>
      <x:c r="L265" s="33" t="str">
        <x:v>Boulangeries</x:v>
      </x:c>
      <x:c r="M265" s="33" t="str">
        <x:v>Conakry (à vérifier)</x:v>
      </x:c>
      <x:c r="N265" s="33" t="str"/>
      <x:c r="O265" s="33" t="str"/>
      <x:c r="P265" s="33" t="str">
        <x:v>629222233</x:v>
      </x:c>
      <x:c r="Q265" s="33" t="str"/>
      <x:c r="R265" s="33" t="str"/>
      <x:c r="S265" s="33" t="str"/>
      <x:c r="T265" s="35" t="n">
        <x:v>9.5346953</x:v>
      </x:c>
      <x:c r="U265" s="35" t="n">
        <x:v>-13.6858566</x:v>
      </x:c>
      <x:c r="V265" s="33" t="str">
        <x:v>https://www.openstreetmap.org/node/6025764385</x:v>
      </x:c>
      <x:c r="W265" s="33" t="str">
        <x:v>node/6025764385</x:v>
      </x:c>
      <x:c r="X265" s="33" t="str">
        <x:v>review_required</x:v>
      </x:c>
      <x:c r="Y265" s="33" t="str">
        <x:v>city market four donka|conakry a verifier</x:v>
      </x:c>
      <x:c r="Z265" s="33" t="str">
        <x:v>224629222233</x:v>
      </x:c>
      <x:c r="AA265" s="33" t="str"/>
    </x:row>
    <x:row r="266">
      <x:c r="A266" s="30" t="str">
        <x:v>À vérifier</x:v>
      </x:c>
      <x:c r="B266" s="30" t="str"/>
      <x:c r="C266" s="31"/>
      <x:c r="D266" s="30" t="str">
        <x:v>Non vérifié</x:v>
      </x:c>
      <x:c r="E266" s="30" t="str"/>
      <x:c r="F266" s="30" t="str"/>
      <x:c r="G266" s="32" t="str"/>
      <x:c r="H266" s="33" t="str">
        <x:f>IF(I266&lt;&gt;"","Doublon possible","")</x:f>
      </x:c>
      <x:c r="I266" s="33" t="str">
        <x:f>IF(COUNTIFS($Y$9:$Y$678,Y266)&gt;1,"Nom + ville",IF(AND(Z266&lt;&gt;"",COUNTIFS($Z$9:$Z$678,Z266)&gt;1),"Téléphone",IF(AND(AA266&lt;&gt;"",COUNTIFS($AA$9:$AA$678,AA266)&gt;1),"Site web","")))</x:f>
      </x:c>
      <x:c r="J266" s="33" t="str">
        <x:v>City Marley Four</x:v>
      </x:c>
      <x:c r="K266" s="33" t="str">
        <x:v>Restaurants</x:v>
      </x:c>
      <x:c r="L266" s="33" t="str">
        <x:v>Boulangeries</x:v>
      </x:c>
      <x:c r="M266" s="33" t="str">
        <x:v>Conakry (à vérifier)</x:v>
      </x:c>
      <x:c r="N266" s="33" t="str"/>
      <x:c r="O266" s="33" t="str"/>
      <x:c r="P266" s="33" t="str">
        <x:v>+224661012525</x:v>
      </x:c>
      <x:c r="Q266" s="33" t="str"/>
      <x:c r="R266" s="33" t="str"/>
      <x:c r="S266" s="33" t="str"/>
      <x:c r="T266" s="35" t="n">
        <x:v>9.5370819</x:v>
      </x:c>
      <x:c r="U266" s="35" t="n">
        <x:v>-13.6762606</x:v>
      </x:c>
      <x:c r="V266" s="33" t="str">
        <x:v>https://www.openstreetmap.org/node/5420518721</x:v>
      </x:c>
      <x:c r="W266" s="33" t="str">
        <x:v>node/5420518721</x:v>
      </x:c>
      <x:c r="X266" s="33" t="str">
        <x:v>review_required</x:v>
      </x:c>
      <x:c r="Y266" s="33" t="str">
        <x:v>city marley four|conakry a verifier</x:v>
      </x:c>
      <x:c r="Z266" s="33" t="str">
        <x:v>224661012525</x:v>
      </x:c>
      <x:c r="AA266" s="33" t="str"/>
    </x:row>
    <x:row r="267">
      <x:c r="A267" s="30" t="str">
        <x:v>À vérifier</x:v>
      </x:c>
      <x:c r="B267" s="30" t="str"/>
      <x:c r="C267" s="31"/>
      <x:c r="D267" s="30" t="str">
        <x:v>Non vérifié</x:v>
      </x:c>
      <x:c r="E267" s="30" t="str"/>
      <x:c r="F267" s="30" t="str"/>
      <x:c r="G267" s="32" t="str"/>
      <x:c r="H267" s="33" t="str">
        <x:f>IF(I267&lt;&gt;"","Doublon possible","")</x:f>
      </x:c>
      <x:c r="I267" s="33" t="str">
        <x:f>IF(COUNTIFS($Y$9:$Y$678,Y267)&gt;1,"Nom + ville",IF(AND(Z267&lt;&gt;"",COUNTIFS($Z$9:$Z$678,Z267)&gt;1),"Téléphone",IF(AND(AA267&lt;&gt;"",COUNTIFS($AA$9:$AA$678,AA267)&gt;1),"Site web","")))</x:f>
      </x:c>
      <x:c r="J267" s="33" t="str">
        <x:v>Dimoh Café &amp; Restaurant</x:v>
      </x:c>
      <x:c r="K267" s="33" t="str">
        <x:v>Restaurants</x:v>
      </x:c>
      <x:c r="L267" s="33" t="str">
        <x:v>Restaurants</x:v>
      </x:c>
      <x:c r="M267" s="33" t="str">
        <x:v>conakry</x:v>
      </x:c>
      <x:c r="N267" s="33" t="str"/>
      <x:c r="O267" s="33" t="str">
        <x:v>Nongo Conteyah</x:v>
      </x:c>
      <x:c r="P267" s="33" t="str">
        <x:v>00224610622967</x:v>
      </x:c>
      <x:c r="Q267" s="33" t="str"/>
      <x:c r="R267" s="33" t="str"/>
      <x:c r="S267" s="33" t="str"/>
      <x:c r="T267" s="35" t="n">
        <x:v>9.6163895</x:v>
      </x:c>
      <x:c r="U267" s="35" t="n">
        <x:v>-13.6336692</x:v>
      </x:c>
      <x:c r="V267" s="33" t="str">
        <x:v>https://www.openstreetmap.org/way/883748395</x:v>
      </x:c>
      <x:c r="W267" s="33" t="str">
        <x:v>way/883748395</x:v>
      </x:c>
      <x:c r="X267" s="33" t="str">
        <x:v>review_required</x:v>
      </x:c>
      <x:c r="Y267" s="33" t="str">
        <x:v>dimoh cafe restaurant|conakry</x:v>
      </x:c>
      <x:c r="Z267" s="33" t="str">
        <x:v>224610622967</x:v>
      </x:c>
      <x:c r="AA267" s="33" t="str"/>
    </x:row>
    <x:row r="268">
      <x:c r="A268" s="30" t="str">
        <x:v>À vérifier</x:v>
      </x:c>
      <x:c r="B268" s="30" t="str"/>
      <x:c r="C268" s="31"/>
      <x:c r="D268" s="30" t="str">
        <x:v>Non vérifié</x:v>
      </x:c>
      <x:c r="E268" s="30" t="str"/>
      <x:c r="F268" s="30" t="str"/>
      <x:c r="G268" s="32" t="str"/>
      <x:c r="H268" s="33" t="str">
        <x:f>IF(I268&lt;&gt;"","Doublon possible","")</x:f>
      </x:c>
      <x:c r="I268" s="33" t="str">
        <x:f>IF(COUNTIFS($Y$9:$Y$678,Y268)&gt;1,"Nom + ville",IF(AND(Z268&lt;&gt;"",COUNTIFS($Z$9:$Z$678,Z268)&gt;1),"Téléphone",IF(AND(AA268&lt;&gt;"",COUNTIFS($AA$9:$AA$678,AA268)&gt;1),"Site web","")))</x:f>
      </x:c>
      <x:c r="J268" s="33" t="str">
        <x:v>Fast-food Kolima</x:v>
      </x:c>
      <x:c r="K268" s="33" t="str">
        <x:v>Restaurants</x:v>
      </x:c>
      <x:c r="L268" s="33" t="str">
        <x:v>Fast-food</x:v>
      </x:c>
      <x:c r="M268" s="33" t="str">
        <x:v>Conakry (à vérifier)</x:v>
      </x:c>
      <x:c r="N268" s="33" t="str"/>
      <x:c r="O268" s="33" t="str"/>
      <x:c r="P268" s="33" t="str">
        <x:v>+224621534855</x:v>
      </x:c>
      <x:c r="Q268" s="33" t="str"/>
      <x:c r="R268" s="33" t="str"/>
      <x:c r="S268" s="33" t="str"/>
      <x:c r="T268" s="35" t="n">
        <x:v>9.5987604</x:v>
      </x:c>
      <x:c r="U268" s="35" t="n">
        <x:v>-13.6398267</x:v>
      </x:c>
      <x:c r="V268" s="33" t="str">
        <x:v>https://www.openstreetmap.org/node/6049813041</x:v>
      </x:c>
      <x:c r="W268" s="33" t="str">
        <x:v>node/6049813041</x:v>
      </x:c>
      <x:c r="X268" s="33" t="str">
        <x:v>review_required</x:v>
      </x:c>
      <x:c r="Y268" s="33" t="str">
        <x:v>fast food kolima|conakry a verifier</x:v>
      </x:c>
      <x:c r="Z268" s="33" t="str">
        <x:v>224621534855</x:v>
      </x:c>
      <x:c r="AA268" s="33" t="str"/>
    </x:row>
    <x:row r="269">
      <x:c r="A269" s="30" t="str">
        <x:v>À vérifier</x:v>
      </x:c>
      <x:c r="B269" s="30" t="str"/>
      <x:c r="C269" s="31"/>
      <x:c r="D269" s="30" t="str">
        <x:v>Non vérifié</x:v>
      </x:c>
      <x:c r="E269" s="30" t="str"/>
      <x:c r="F269" s="30" t="str"/>
      <x:c r="G269" s="32" t="str"/>
      <x:c r="H269" s="33" t="str">
        <x:f>IF(I269&lt;&gt;"","Doublon possible","")</x:f>
      </x:c>
      <x:c r="I269" s="33" t="str">
        <x:f>IF(COUNTIFS($Y$9:$Y$678,Y269)&gt;1,"Nom + ville",IF(AND(Z269&lt;&gt;"",COUNTIFS($Z$9:$Z$678,Z269)&gt;1),"Téléphone",IF(AND(AA269&lt;&gt;"",COUNTIFS($AA$9:$AA$678,AA269)&gt;1),"Site web","")))</x:f>
      </x:c>
      <x:c r="J269" s="33" t="str">
        <x:v>Free-Glace</x:v>
      </x:c>
      <x:c r="K269" s="33" t="str">
        <x:v>Restaurants</x:v>
      </x:c>
      <x:c r="L269" s="33" t="str">
        <x:v>Cafés</x:v>
      </x:c>
      <x:c r="M269" s="33" t="str">
        <x:v>Conakry (à vérifier)</x:v>
      </x:c>
      <x:c r="N269" s="33" t="str"/>
      <x:c r="O269" s="33" t="str"/>
      <x:c r="P269" s="33" t="str">
        <x:v>+224622901077</x:v>
      </x:c>
      <x:c r="Q269" s="33" t="str"/>
      <x:c r="R269" s="33" t="str"/>
      <x:c r="S269" s="33" t="str"/>
      <x:c r="T269" s="35" t="n">
        <x:v>9.6389561</x:v>
      </x:c>
      <x:c r="U269" s="35" t="n">
        <x:v>-13.6161928</x:v>
      </x:c>
      <x:c r="V269" s="33" t="str">
        <x:v>https://www.openstreetmap.org/node/6044920295</x:v>
      </x:c>
      <x:c r="W269" s="33" t="str">
        <x:v>node/6044920295</x:v>
      </x:c>
      <x:c r="X269" s="33" t="str">
        <x:v>review_required</x:v>
      </x:c>
      <x:c r="Y269" s="33" t="str">
        <x:v>free glace|conakry a verifier</x:v>
      </x:c>
      <x:c r="Z269" s="33" t="str">
        <x:v>224622901077</x:v>
      </x:c>
      <x:c r="AA269" s="33" t="str"/>
    </x:row>
    <x:row r="270">
      <x:c r="A270" s="30" t="str">
        <x:v>À vérifier</x:v>
      </x:c>
      <x:c r="B270" s="30" t="str"/>
      <x:c r="C270" s="31"/>
      <x:c r="D270" s="30" t="str">
        <x:v>Non vérifié</x:v>
      </x:c>
      <x:c r="E270" s="30" t="str"/>
      <x:c r="F270" s="30" t="str"/>
      <x:c r="G270" s="32" t="str"/>
      <x:c r="H270" s="33" t="str">
        <x:f>IF(I270&lt;&gt;"","Doublon possible","")</x:f>
      </x:c>
      <x:c r="I270" s="33" t="str">
        <x:f>IF(COUNTIFS($Y$9:$Y$678,Y270)&gt;1,"Nom + ville",IF(AND(Z270&lt;&gt;"",COUNTIFS($Z$9:$Z$678,Z270)&gt;1),"Téléphone",IF(AND(AA270&lt;&gt;"",COUNTIFS($AA$9:$AA$678,AA270)&gt;1),"Site web","")))</x:f>
      </x:c>
      <x:c r="J270" s="33" t="str">
        <x:v>Kambaya Chez Madame Cissé</x:v>
      </x:c>
      <x:c r="K270" s="33" t="str">
        <x:v>Restaurants</x:v>
      </x:c>
      <x:c r="L270" s="33" t="str">
        <x:v>Restaurants</x:v>
      </x:c>
      <x:c r="M270" s="33" t="str">
        <x:v>Conakry (à vérifier)</x:v>
      </x:c>
      <x:c r="N270" s="33" t="str"/>
      <x:c r="O270" s="33" t="str"/>
      <x:c r="P270" s="33" t="str">
        <x:v>+224 669335443</x:v>
      </x:c>
      <x:c r="Q270" s="33" t="str"/>
      <x:c r="R270" s="33" t="str"/>
      <x:c r="S270" s="33" t="str"/>
      <x:c r="T270" s="35" t="n">
        <x:v>9.5535252</x:v>
      </x:c>
      <x:c r="U270" s="35" t="n">
        <x:v>-13.6703464</x:v>
      </x:c>
      <x:c r="V270" s="33" t="str">
        <x:v>https://www.openstreetmap.org/node/5940699510</x:v>
      </x:c>
      <x:c r="W270" s="33" t="str">
        <x:v>node/5940699510</x:v>
      </x:c>
      <x:c r="X270" s="33" t="str">
        <x:v>review_required</x:v>
      </x:c>
      <x:c r="Y270" s="33" t="str">
        <x:v>kambaya chez madame cisse|conakry a verifier</x:v>
      </x:c>
      <x:c r="Z270" s="33" t="str">
        <x:v>224669335443</x:v>
      </x:c>
      <x:c r="AA270" s="33" t="str"/>
    </x:row>
    <x:row r="271">
      <x:c r="A271" s="30" t="str">
        <x:v>À vérifier</x:v>
      </x:c>
      <x:c r="B271" s="30" t="str"/>
      <x:c r="C271" s="31"/>
      <x:c r="D271" s="30" t="str">
        <x:v>Non vérifié</x:v>
      </x:c>
      <x:c r="E271" s="30" t="str"/>
      <x:c r="F271" s="30" t="str"/>
      <x:c r="G271" s="32" t="str"/>
      <x:c r="H271" s="33" t="str">
        <x:f>IF(I271&lt;&gt;"","Doublon possible","")</x:f>
      </x:c>
      <x:c r="I271" s="33" t="str">
        <x:f>IF(COUNTIFS($Y$9:$Y$678,Y271)&gt;1,"Nom + ville",IF(AND(Z271&lt;&gt;"",COUNTIFS($Z$9:$Z$678,Z271)&gt;1),"Téléphone",IF(AND(AA271&lt;&gt;"",COUNTIFS($AA$9:$AA$678,AA271)&gt;1),"Site web","")))</x:f>
      </x:c>
      <x:c r="J271" s="33" t="str">
        <x:v>La brioche de Ratoma</x:v>
      </x:c>
      <x:c r="K271" s="33" t="str">
        <x:v>Restaurants</x:v>
      </x:c>
      <x:c r="L271" s="33" t="str">
        <x:v>Restaurants</x:v>
      </x:c>
      <x:c r="M271" s="33" t="str">
        <x:v>Conakry (à vérifier)</x:v>
      </x:c>
      <x:c r="N271" s="33" t="str"/>
      <x:c r="O271" s="33" t="str"/>
      <x:c r="P271" s="33" t="str">
        <x:v>620845985</x:v>
      </x:c>
      <x:c r="Q271" s="33" t="str"/>
      <x:c r="R271" s="33" t="str"/>
      <x:c r="S271" s="33" t="str"/>
      <x:c r="T271" s="35" t="n">
        <x:v>9.5882887</x:v>
      </x:c>
      <x:c r="U271" s="35" t="n">
        <x:v>-13.657015</x:v>
      </x:c>
      <x:c r="V271" s="33" t="str">
        <x:v>https://www.openstreetmap.org/node/6308657635</x:v>
      </x:c>
      <x:c r="W271" s="33" t="str">
        <x:v>node/6308657635</x:v>
      </x:c>
      <x:c r="X271" s="33" t="str">
        <x:v>review_required</x:v>
      </x:c>
      <x:c r="Y271" s="33" t="str">
        <x:v>la brioche de ratoma|conakry a verifier</x:v>
      </x:c>
      <x:c r="Z271" s="33" t="str">
        <x:v>224620845985</x:v>
      </x:c>
      <x:c r="AA271" s="33" t="str"/>
    </x:row>
    <x:row r="272">
      <x:c r="A272" s="30" t="str">
        <x:v>À vérifier</x:v>
      </x:c>
      <x:c r="B272" s="30" t="str"/>
      <x:c r="C272" s="31"/>
      <x:c r="D272" s="30" t="str">
        <x:v>Non vérifié</x:v>
      </x:c>
      <x:c r="E272" s="30" t="str"/>
      <x:c r="F272" s="30" t="str"/>
      <x:c r="G272" s="32" t="str"/>
      <x:c r="H272" s="33" t="str">
        <x:f>IF(I272&lt;&gt;"","Doublon possible","")</x:f>
      </x:c>
      <x:c r="I272" s="33" t="str">
        <x:f>IF(COUNTIFS($Y$9:$Y$678,Y272)&gt;1,"Nom + ville",IF(AND(Z272&lt;&gt;"",COUNTIFS($Z$9:$Z$678,Z272)&gt;1),"Téléphone",IF(AND(AA272&lt;&gt;"",COUNTIFS($AA$9:$AA$678,AA272)&gt;1),"Site web","")))</x:f>
      </x:c>
      <x:c r="J272" s="33" t="str">
        <x:v>La détente kipé</x:v>
      </x:c>
      <x:c r="K272" s="33" t="str">
        <x:v>Restaurants</x:v>
      </x:c>
      <x:c r="L272" s="33" t="str">
        <x:v>Restaurants</x:v>
      </x:c>
      <x:c r="M272" s="33" t="str">
        <x:v>Conakry</x:v>
      </x:c>
      <x:c r="N272" s="33" t="str"/>
      <x:c r="O272" s="33" t="str">
        <x:v>kipe dadia</x:v>
      </x:c>
      <x:c r="P272" s="33" t="str">
        <x:v>+224627675002</x:v>
      </x:c>
      <x:c r="Q272" s="33" t="str">
        <x:v>karimbah59@gmail.com</x:v>
      </x:c>
      <x:c r="R272" s="33" t="str">
        <x:v>https://la-detente-kipe.business.site/</x:v>
      </x:c>
      <x:c r="S272" s="33" t="str"/>
      <x:c r="T272" s="35" t="n">
        <x:v>9.6017155</x:v>
      </x:c>
      <x:c r="U272" s="35" t="n">
        <x:v>-13.6569779</x:v>
      </x:c>
      <x:c r="V272" s="33" t="str">
        <x:v>https://www.openstreetmap.org/node/9257286146</x:v>
      </x:c>
      <x:c r="W272" s="33" t="str">
        <x:v>node/9257286146</x:v>
      </x:c>
      <x:c r="X272" s="33" t="str">
        <x:v>review_required</x:v>
      </x:c>
      <x:c r="Y272" s="33" t="str">
        <x:v>la detente kipe|conakry</x:v>
      </x:c>
      <x:c r="Z272" s="33" t="str">
        <x:v>224627675002</x:v>
      </x:c>
      <x:c r="AA272" s="33" t="str">
        <x:v>la-detente-kipe.business.site</x:v>
      </x:c>
    </x:row>
    <x:row r="273">
      <x:c r="A273" s="30" t="str">
        <x:v>À vérifier</x:v>
      </x:c>
      <x:c r="B273" s="30" t="str"/>
      <x:c r="C273" s="31"/>
      <x:c r="D273" s="30" t="str">
        <x:v>Non vérifié</x:v>
      </x:c>
      <x:c r="E273" s="30" t="str"/>
      <x:c r="F273" s="30" t="str"/>
      <x:c r="G273" s="32" t="str"/>
      <x:c r="H273" s="33" t="str">
        <x:f>IF(I273&lt;&gt;"","Doublon possible","")</x:f>
      </x:c>
      <x:c r="I273" s="33" t="str">
        <x:f>IF(COUNTIFS($Y$9:$Y$678,Y273)&gt;1,"Nom + ville",IF(AND(Z273&lt;&gt;"",COUNTIFS($Z$9:$Z$678,Z273)&gt;1),"Téléphone",IF(AND(AA273&lt;&gt;"",COUNTIFS($AA$9:$AA$678,AA273)&gt;1),"Site web","")))</x:f>
      </x:c>
      <x:c r="J273" s="33" t="str">
        <x:v>La G7</x:v>
      </x:c>
      <x:c r="K273" s="33" t="str">
        <x:v>Restaurants</x:v>
      </x:c>
      <x:c r="L273" s="33" t="str">
        <x:v>Restaurants</x:v>
      </x:c>
      <x:c r="M273" s="33" t="str">
        <x:v>Conakry (à vérifier)</x:v>
      </x:c>
      <x:c r="N273" s="33" t="str"/>
      <x:c r="O273" s="33" t="str"/>
      <x:c r="P273" s="33" t="str">
        <x:v>613215372</x:v>
      </x:c>
      <x:c r="Q273" s="33" t="str"/>
      <x:c r="R273" s="33" t="str"/>
      <x:c r="S273" s="33" t="str"/>
      <x:c r="T273" s="35" t="n">
        <x:v>9.6315528</x:v>
      </x:c>
      <x:c r="U273" s="35" t="n">
        <x:v>-13.606556</x:v>
      </x:c>
      <x:c r="V273" s="33" t="str">
        <x:v>https://www.openstreetmap.org/node/11968331614</x:v>
      </x:c>
      <x:c r="W273" s="33" t="str">
        <x:v>node/11968331614</x:v>
      </x:c>
      <x:c r="X273" s="33" t="str">
        <x:v>review_required</x:v>
      </x:c>
      <x:c r="Y273" s="33" t="str">
        <x:v>la g7|conakry a verifier</x:v>
      </x:c>
      <x:c r="Z273" s="33" t="str">
        <x:v>224613215372</x:v>
      </x:c>
      <x:c r="AA273" s="33" t="str"/>
    </x:row>
    <x:row r="274">
      <x:c r="A274" s="30" t="str">
        <x:v>À vérifier</x:v>
      </x:c>
      <x:c r="B274" s="30" t="str"/>
      <x:c r="C274" s="31"/>
      <x:c r="D274" s="30" t="str">
        <x:v>Non vérifié</x:v>
      </x:c>
      <x:c r="E274" s="30" t="str"/>
      <x:c r="F274" s="30" t="str"/>
      <x:c r="G274" s="32" t="str"/>
      <x:c r="H274" s="33" t="str">
        <x:f>IF(I274&lt;&gt;"","Doublon possible","")</x:f>
      </x:c>
      <x:c r="I274" s="33" t="str">
        <x:f>IF(COUNTIFS($Y$9:$Y$678,Y274)&gt;1,"Nom + ville",IF(AND(Z274&lt;&gt;"",COUNTIFS($Z$9:$Z$678,Z274)&gt;1),"Téléphone",IF(AND(AA274&lt;&gt;"",COUNTIFS($AA$9:$AA$678,AA274)&gt;1),"Site web","")))</x:f>
      </x:c>
      <x:c r="J274" s="33" t="str">
        <x:v>La Galette</x:v>
      </x:c>
      <x:c r="K274" s="33" t="str">
        <x:v>Restaurants</x:v>
      </x:c>
      <x:c r="L274" s="33" t="str">
        <x:v>Boulangeries</x:v>
      </x:c>
      <x:c r="M274" s="33" t="str">
        <x:v>Conakry (à vérifier)</x:v>
      </x:c>
      <x:c r="N274" s="33" t="str"/>
      <x:c r="O274" s="33" t="str">
        <x:v>Kipe</x:v>
      </x:c>
      <x:c r="P274" s="33" t="str"/>
      <x:c r="Q274" s="33" t="str"/>
      <x:c r="R274" s="33" t="str"/>
      <x:c r="S274" s="33" t="str"/>
      <x:c r="T274" s="35" t="n">
        <x:v>9.606723</x:v>
      </x:c>
      <x:c r="U274" s="35" t="n">
        <x:v>-13.6491221</x:v>
      </x:c>
      <x:c r="V274" s="33" t="str">
        <x:v>https://www.openstreetmap.org/node/6227202383</x:v>
      </x:c>
      <x:c r="W274" s="33" t="str">
        <x:v>node/6227202383</x:v>
      </x:c>
      <x:c r="X274" s="33" t="str">
        <x:v>review_required</x:v>
      </x:c>
      <x:c r="Y274" s="33" t="str">
        <x:v>la galette|conakry a verifier</x:v>
      </x:c>
      <x:c r="Z274" s="33" t="str"/>
      <x:c r="AA274" s="33" t="str"/>
    </x:row>
    <x:row r="275">
      <x:c r="A275" s="30" t="str">
        <x:v>À vérifier</x:v>
      </x:c>
      <x:c r="B275" s="30" t="str"/>
      <x:c r="C275" s="31"/>
      <x:c r="D275" s="30" t="str">
        <x:v>Non vérifié</x:v>
      </x:c>
      <x:c r="E275" s="30" t="str"/>
      <x:c r="F275" s="30" t="str"/>
      <x:c r="G275" s="32" t="str"/>
      <x:c r="H275" s="33" t="str">
        <x:f>IF(I275&lt;&gt;"","Doublon possible","")</x:f>
      </x:c>
      <x:c r="I275" s="33" t="str">
        <x:f>IF(COUNTIFS($Y$9:$Y$678,Y275)&gt;1,"Nom + ville",IF(AND(Z275&lt;&gt;"",COUNTIFS($Z$9:$Z$678,Z275)&gt;1),"Téléphone",IF(AND(AA275&lt;&gt;"",COUNTIFS($AA$9:$AA$678,AA275)&gt;1),"Site web","")))</x:f>
      </x:c>
      <x:c r="J275" s="33" t="str">
        <x:v>le Bistro Parisien</x:v>
      </x:c>
      <x:c r="K275" s="33" t="str">
        <x:v>Restaurants</x:v>
      </x:c>
      <x:c r="L275" s="33" t="str">
        <x:v>Restaurants</x:v>
      </x:c>
      <x:c r="M275" s="33" t="str">
        <x:v>Conakry (à vérifier)</x:v>
      </x:c>
      <x:c r="N275" s="33" t="str"/>
      <x:c r="O275" s="33" t="str">
        <x:v>Corniche Sud</x:v>
      </x:c>
      <x:c r="P275" s="33" t="str"/>
      <x:c r="Q275" s="33" t="str"/>
      <x:c r="R275" s="33" t="str"/>
      <x:c r="S275" s="33" t="str"/>
      <x:c r="T275" s="35" t="n">
        <x:v>9.5288133</x:v>
      </x:c>
      <x:c r="U275" s="35" t="n">
        <x:v>-13.6789594</x:v>
      </x:c>
      <x:c r="V275" s="33" t="str">
        <x:v>https://www.openstreetmap.org/node/4212901903</x:v>
      </x:c>
      <x:c r="W275" s="33" t="str">
        <x:v>node/4212901903</x:v>
      </x:c>
      <x:c r="X275" s="33" t="str">
        <x:v>review_required</x:v>
      </x:c>
      <x:c r="Y275" s="33" t="str">
        <x:v>le bistro parisien|conakry a verifier</x:v>
      </x:c>
      <x:c r="Z275" s="33" t="str"/>
      <x:c r="AA275" s="33" t="str"/>
    </x:row>
    <x:row r="276">
      <x:c r="A276" s="30" t="str">
        <x:v>À vérifier</x:v>
      </x:c>
      <x:c r="B276" s="30" t="str"/>
      <x:c r="C276" s="31"/>
      <x:c r="D276" s="30" t="str">
        <x:v>Non vérifié</x:v>
      </x:c>
      <x:c r="E276" s="30" t="str"/>
      <x:c r="F276" s="30" t="str"/>
      <x:c r="G276" s="32" t="str"/>
      <x:c r="H276" s="33" t="str">
        <x:f>IF(I276&lt;&gt;"","Doublon possible","")</x:f>
      </x:c>
      <x:c r="I276" s="33" t="str">
        <x:f>IF(COUNTIFS($Y$9:$Y$678,Y276)&gt;1,"Nom + ville",IF(AND(Z276&lt;&gt;"",COUNTIFS($Z$9:$Z$678,Z276)&gt;1),"Téléphone",IF(AND(AA276&lt;&gt;"",COUNTIFS($AA$9:$AA$678,AA276)&gt;1),"Site web","")))</x:f>
      </x:c>
      <x:c r="J276" s="33" t="str">
        <x:v>le calypso</x:v>
      </x:c>
      <x:c r="K276" s="33" t="str">
        <x:v>Restaurants</x:v>
      </x:c>
      <x:c r="L276" s="33" t="str">
        <x:v>Fast-food</x:v>
      </x:c>
      <x:c r="M276" s="33" t="str">
        <x:v>Conakry (à vérifier)</x:v>
      </x:c>
      <x:c r="N276" s="33" t="str"/>
      <x:c r="O276" s="33" t="str"/>
      <x:c r="P276" s="33" t="str">
        <x:v>+224628021002</x:v>
      </x:c>
      <x:c r="Q276" s="33" t="str"/>
      <x:c r="R276" s="33" t="str"/>
      <x:c r="S276" s="33" t="str"/>
      <x:c r="T276" s="35" t="n">
        <x:v>9.650075</x:v>
      </x:c>
      <x:c r="U276" s="35" t="n">
        <x:v>-13.5499028</x:v>
      </x:c>
      <x:c r="V276" s="33" t="str">
        <x:v>https://www.openstreetmap.org/way/547230957</x:v>
      </x:c>
      <x:c r="W276" s="33" t="str">
        <x:v>way/547230957</x:v>
      </x:c>
      <x:c r="X276" s="33" t="str">
        <x:v>review_required</x:v>
      </x:c>
      <x:c r="Y276" s="33" t="str">
        <x:v>le calypso|conakry a verifier</x:v>
      </x:c>
      <x:c r="Z276" s="33" t="str">
        <x:v>224628021002</x:v>
      </x:c>
      <x:c r="AA276" s="33" t="str"/>
    </x:row>
    <x:row r="277">
      <x:c r="A277" s="30" t="str">
        <x:v>À vérifier</x:v>
      </x:c>
      <x:c r="B277" s="30" t="str"/>
      <x:c r="C277" s="31"/>
      <x:c r="D277" s="30" t="str">
        <x:v>Non vérifié</x:v>
      </x:c>
      <x:c r="E277" s="30" t="str"/>
      <x:c r="F277" s="30" t="str"/>
      <x:c r="G277" s="32" t="str"/>
      <x:c r="H277" s="33" t="str">
        <x:f>IF(I277&lt;&gt;"","Doublon possible","")</x:f>
      </x:c>
      <x:c r="I277" s="33" t="str">
        <x:f>IF(COUNTIFS($Y$9:$Y$678,Y277)&gt;1,"Nom + ville",IF(AND(Z277&lt;&gt;"",COUNTIFS($Z$9:$Z$678,Z277)&gt;1),"Téléphone",IF(AND(AA277&lt;&gt;"",COUNTIFS($AA$9:$AA$678,AA277)&gt;1),"Site web","")))</x:f>
      </x:c>
      <x:c r="J277" s="33" t="str">
        <x:v>Le Scred Lounge</x:v>
      </x:c>
      <x:c r="K277" s="33" t="str">
        <x:v>Restaurants</x:v>
      </x:c>
      <x:c r="L277" s="33" t="str">
        <x:v>Restaurants</x:v>
      </x:c>
      <x:c r="M277" s="33" t="str">
        <x:v>Conakry</x:v>
      </x:c>
      <x:c r="N277" s="33" t="str"/>
      <x:c r="O277" s="33" t="str">
        <x:v>kipe J943+H68, Guinea</x:v>
      </x:c>
      <x:c r="P277" s="33" t="str">
        <x:v>625299398</x:v>
      </x:c>
      <x:c r="Q277" s="33" t="str"/>
      <x:c r="R277" s="33" t="str"/>
      <x:c r="S277" s="33" t="str"/>
      <x:c r="T277" s="35" t="n">
        <x:v>9.6069159</x:v>
      </x:c>
      <x:c r="U277" s="35" t="n">
        <x:v>-13.6467491</x:v>
      </x:c>
      <x:c r="V277" s="33" t="str">
        <x:v>https://www.openstreetmap.org/node/9300920768</x:v>
      </x:c>
      <x:c r="W277" s="33" t="str">
        <x:v>node/9300920768</x:v>
      </x:c>
      <x:c r="X277" s="33" t="str">
        <x:v>review_required</x:v>
      </x:c>
      <x:c r="Y277" s="33" t="str">
        <x:v>le scred lounge|conakry</x:v>
      </x:c>
      <x:c r="Z277" s="33" t="str">
        <x:v>224625299398</x:v>
      </x:c>
      <x:c r="AA277" s="33" t="str"/>
    </x:row>
    <x:row r="278">
      <x:c r="A278" s="30" t="str">
        <x:v>À vérifier</x:v>
      </x:c>
      <x:c r="B278" s="30" t="str"/>
      <x:c r="C278" s="31"/>
      <x:c r="D278" s="30" t="str">
        <x:v>Non vérifié</x:v>
      </x:c>
      <x:c r="E278" s="30" t="str"/>
      <x:c r="F278" s="30" t="str"/>
      <x:c r="G278" s="32" t="str"/>
      <x:c r="H278" s="33" t="str">
        <x:f>IF(I278&lt;&gt;"","Doublon possible","")</x:f>
      </x:c>
      <x:c r="I278" s="33" t="str">
        <x:f>IF(COUNTIFS($Y$9:$Y$678,Y278)&gt;1,"Nom + ville",IF(AND(Z278&lt;&gt;"",COUNTIFS($Z$9:$Z$678,Z278)&gt;1),"Téléphone",IF(AND(AA278&lt;&gt;"",COUNTIFS($AA$9:$AA$678,AA278)&gt;1),"Site web","")))</x:f>
      </x:c>
      <x:c r="J278" s="33" t="str">
        <x:v>Les délices du Maroc</x:v>
      </x:c>
      <x:c r="K278" s="33" t="str">
        <x:v>Restaurants</x:v>
      </x:c>
      <x:c r="L278" s="33" t="str">
        <x:v>Restaurants</x:v>
      </x:c>
      <x:c r="M278" s="33" t="str">
        <x:v>Conakry (à vérifier)</x:v>
      </x:c>
      <x:c r="N278" s="33" t="str"/>
      <x:c r="O278" s="33" t="str"/>
      <x:c r="P278" s="33" t="str">
        <x:v>+224626422043</x:v>
      </x:c>
      <x:c r="Q278" s="33" t="str">
        <x:v>patisseriedelice.ma@gmail.com</x:v>
      </x:c>
      <x:c r="R278" s="33" t="str"/>
      <x:c r="S278" s="33" t="str"/>
      <x:c r="T278" s="35" t="n">
        <x:v>9.5462053</x:v>
      </x:c>
      <x:c r="U278" s="35" t="n">
        <x:v>-13.6784077</x:v>
      </x:c>
      <x:c r="V278" s="33" t="str">
        <x:v>https://www.openstreetmap.org/node/5960834281</x:v>
      </x:c>
      <x:c r="W278" s="33" t="str">
        <x:v>node/5960834281</x:v>
      </x:c>
      <x:c r="X278" s="33" t="str">
        <x:v>review_required</x:v>
      </x:c>
      <x:c r="Y278" s="33" t="str">
        <x:v>les delices du maroc|conakry a verifier</x:v>
      </x:c>
      <x:c r="Z278" s="33" t="str">
        <x:v>224626422043</x:v>
      </x:c>
      <x:c r="AA278" s="33" t="str"/>
    </x:row>
    <x:row r="279">
      <x:c r="A279" s="30" t="str">
        <x:v>À vérifier</x:v>
      </x:c>
      <x:c r="B279" s="30" t="str"/>
      <x:c r="C279" s="31"/>
      <x:c r="D279" s="30" t="str">
        <x:v>Non vérifié</x:v>
      </x:c>
      <x:c r="E279" s="30" t="str"/>
      <x:c r="F279" s="30" t="str"/>
      <x:c r="G279" s="32" t="str"/>
      <x:c r="H279" s="33" t="str">
        <x:f>IF(I279&lt;&gt;"","Doublon possible","")</x:f>
      </x:c>
      <x:c r="I279" s="33" t="str">
        <x:f>IF(COUNTIFS($Y$9:$Y$678,Y279)&gt;1,"Nom + ville",IF(AND(Z279&lt;&gt;"",COUNTIFS($Z$9:$Z$678,Z279)&gt;1),"Téléphone",IF(AND(AA279&lt;&gt;"",COUNTIFS($AA$9:$AA$678,AA279)&gt;1),"Site web","")))</x:f>
      </x:c>
      <x:c r="J279" s="33" t="str">
        <x:v>Magic Joe</x:v>
      </x:c>
      <x:c r="K279" s="33" t="str">
        <x:v>Restaurants</x:v>
      </x:c>
      <x:c r="L279" s="33" t="str">
        <x:v>Restaurants</x:v>
      </x:c>
      <x:c r="M279" s="33" t="str">
        <x:v>Conakry (à vérifier)</x:v>
      </x:c>
      <x:c r="N279" s="33" t="str"/>
      <x:c r="O279" s="33" t="str"/>
      <x:c r="P279" s="33" t="str">
        <x:v>626904588</x:v>
      </x:c>
      <x:c r="Q279" s="33" t="str"/>
      <x:c r="R279" s="33" t="str"/>
      <x:c r="S279" s="33" t="str"/>
      <x:c r="T279" s="35" t="n">
        <x:v>9.6003996</x:v>
      </x:c>
      <x:c r="U279" s="35" t="n">
        <x:v>-13.6530241</x:v>
      </x:c>
      <x:c r="V279" s="33" t="str">
        <x:v>https://www.openstreetmap.org/node/6939551638</x:v>
      </x:c>
      <x:c r="W279" s="33" t="str">
        <x:v>node/6939551638</x:v>
      </x:c>
      <x:c r="X279" s="33" t="str">
        <x:v>review_required</x:v>
      </x:c>
      <x:c r="Y279" s="33" t="str">
        <x:v>magic joe|conakry a verifier</x:v>
      </x:c>
      <x:c r="Z279" s="33" t="str">
        <x:v>224626904588</x:v>
      </x:c>
      <x:c r="AA279" s="33" t="str"/>
    </x:row>
    <x:row r="280">
      <x:c r="A280" s="30" t="str">
        <x:v>À vérifier</x:v>
      </x:c>
      <x:c r="B280" s="30" t="str"/>
      <x:c r="C280" s="31"/>
      <x:c r="D280" s="30" t="str">
        <x:v>Non vérifié</x:v>
      </x:c>
      <x:c r="E280" s="30" t="str"/>
      <x:c r="F280" s="30" t="str"/>
      <x:c r="G280" s="32" t="str"/>
      <x:c r="H280" s="33" t="str">
        <x:f>IF(I280&lt;&gt;"","Doublon possible","")</x:f>
      </x:c>
      <x:c r="I280" s="33" t="str">
        <x:f>IF(COUNTIFS($Y$9:$Y$678,Y280)&gt;1,"Nom + ville",IF(AND(Z280&lt;&gt;"",COUNTIFS($Z$9:$Z$678,Z280)&gt;1),"Téléphone",IF(AND(AA280&lt;&gt;"",COUNTIFS($AA$9:$AA$678,AA280)&gt;1),"Site web","")))</x:f>
      </x:c>
      <x:c r="J280" s="33" t="str">
        <x:v>Maitre Amadou</x:v>
      </x:c>
      <x:c r="K280" s="33" t="str">
        <x:v>Restaurants</x:v>
      </x:c>
      <x:c r="L280" s="33" t="str">
        <x:v>Restaurants</x:v>
      </x:c>
      <x:c r="M280" s="33" t="str">
        <x:v>Conakry (à vérifier)</x:v>
      </x:c>
      <x:c r="N280" s="33" t="str"/>
      <x:c r="O280" s="33" t="str">
        <x:v>T9</x:v>
      </x:c>
      <x:c r="P280" s="33" t="str"/>
      <x:c r="Q280" s="33" t="str"/>
      <x:c r="R280" s="33" t="str"/>
      <x:c r="S280" s="33" t="str"/>
      <x:c r="T280" s="35" t="n">
        <x:v>9.6905328</x:v>
      </x:c>
      <x:c r="U280" s="35" t="n">
        <x:v>-13.5325298</x:v>
      </x:c>
      <x:c r="V280" s="33" t="str">
        <x:v>https://www.openstreetmap.org/node/8371395006</x:v>
      </x:c>
      <x:c r="W280" s="33" t="str">
        <x:v>node/8371395006</x:v>
      </x:c>
      <x:c r="X280" s="33" t="str">
        <x:v>review_required</x:v>
      </x:c>
      <x:c r="Y280" s="33" t="str">
        <x:v>maitre amadou|conakry a verifier</x:v>
      </x:c>
      <x:c r="Z280" s="33" t="str"/>
      <x:c r="AA280" s="33" t="str"/>
    </x:row>
    <x:row r="281">
      <x:c r="A281" s="30" t="str">
        <x:v>À vérifier</x:v>
      </x:c>
      <x:c r="B281" s="30" t="str"/>
      <x:c r="C281" s="31"/>
      <x:c r="D281" s="30" t="str">
        <x:v>Non vérifié</x:v>
      </x:c>
      <x:c r="E281" s="30" t="str"/>
      <x:c r="F281" s="30" t="str"/>
      <x:c r="G281" s="32" t="str"/>
      <x:c r="H281" s="33" t="str">
        <x:f>IF(I281&lt;&gt;"","Doublon possible","")</x:f>
      </x:c>
      <x:c r="I281" s="33" t="str">
        <x:f>IF(COUNTIFS($Y$9:$Y$678,Y281)&gt;1,"Nom + ville",IF(AND(Z281&lt;&gt;"",COUNTIFS($Z$9:$Z$678,Z281)&gt;1),"Téléphone",IF(AND(AA281&lt;&gt;"",COUNTIFS($AA$9:$AA$678,AA281)&gt;1),"Site web","")))</x:f>
      </x:c>
      <x:c r="J281" s="33" t="str">
        <x:v>Moka Restaurant</x:v>
      </x:c>
      <x:c r="K281" s="33" t="str">
        <x:v>Restaurants</x:v>
      </x:c>
      <x:c r="L281" s="33" t="str">
        <x:v>Restaurants</x:v>
      </x:c>
      <x:c r="M281" s="33" t="str">
        <x:v>Conakry (à vérifier)</x:v>
      </x:c>
      <x:c r="N281" s="33" t="str"/>
      <x:c r="O281" s="33" t="str"/>
      <x:c r="P281" s="33" t="str">
        <x:v>+224624750134</x:v>
      </x:c>
      <x:c r="Q281" s="33" t="str">
        <x:v>restaurantmoka6@gmail.com</x:v>
      </x:c>
      <x:c r="R281" s="33" t="str"/>
      <x:c r="S281" s="33" t="str"/>
      <x:c r="T281" s="35" t="n">
        <x:v>9.5765594</x:v>
      </x:c>
      <x:c r="U281" s="35" t="n">
        <x:v>-13.6239715</x:v>
      </x:c>
      <x:c r="V281" s="33" t="str">
        <x:v>https://www.openstreetmap.org/node/6014183004</x:v>
      </x:c>
      <x:c r="W281" s="33" t="str">
        <x:v>node/6014183004</x:v>
      </x:c>
      <x:c r="X281" s="33" t="str">
        <x:v>review_required</x:v>
      </x:c>
      <x:c r="Y281" s="33" t="str">
        <x:v>moka restaurant|conakry a verifier</x:v>
      </x:c>
      <x:c r="Z281" s="33" t="str">
        <x:v>224624750134</x:v>
      </x:c>
      <x:c r="AA281" s="33" t="str"/>
    </x:row>
    <x:row r="282">
      <x:c r="A282" s="30" t="str">
        <x:v>À vérifier</x:v>
      </x:c>
      <x:c r="B282" s="30" t="str"/>
      <x:c r="C282" s="31"/>
      <x:c r="D282" s="30" t="str">
        <x:v>Non vérifié</x:v>
      </x:c>
      <x:c r="E282" s="30" t="str"/>
      <x:c r="F282" s="30" t="str"/>
      <x:c r="G282" s="32" t="str"/>
      <x:c r="H282" s="33" t="str">
        <x:f>IF(I282&lt;&gt;"","Doublon possible","")</x:f>
      </x:c>
      <x:c r="I282" s="33" t="str">
        <x:f>IF(COUNTIFS($Y$9:$Y$678,Y282)&gt;1,"Nom + ville",IF(AND(Z282&lt;&gt;"",COUNTIFS($Z$9:$Z$678,Z282)&gt;1),"Téléphone",IF(AND(AA282&lt;&gt;"",COUNTIFS($AA$9:$AA$678,AA282)&gt;1),"Site web","")))</x:f>
      </x:c>
      <x:c r="J282" s="33" t="str">
        <x:v>Pain Quotidien</x:v>
      </x:c>
      <x:c r="K282" s="33" t="str">
        <x:v>Restaurants</x:v>
      </x:c>
      <x:c r="L282" s="33" t="str">
        <x:v>Boulangeries</x:v>
      </x:c>
      <x:c r="M282" s="33" t="str">
        <x:v>Conakry (à vérifier)</x:v>
      </x:c>
      <x:c r="N282" s="33" t="str"/>
      <x:c r="O282" s="33" t="str"/>
      <x:c r="P282" s="33" t="str">
        <x:v>629715454</x:v>
      </x:c>
      <x:c r="Q282" s="33" t="str">
        <x:v>lepainquotidiengn@gmail.com</x:v>
      </x:c>
      <x:c r="R282" s="33" t="str"/>
      <x:c r="S282" s="33" t="str"/>
      <x:c r="T282" s="35" t="n">
        <x:v>9.6327954</x:v>
      </x:c>
      <x:c r="U282" s="35" t="n">
        <x:v>-13.6253675</x:v>
      </x:c>
      <x:c r="V282" s="33" t="str">
        <x:v>https://www.openstreetmap.org/node/7902479312</x:v>
      </x:c>
      <x:c r="W282" s="33" t="str">
        <x:v>node/7902479312</x:v>
      </x:c>
      <x:c r="X282" s="33" t="str">
        <x:v>review_required</x:v>
      </x:c>
      <x:c r="Y282" s="33" t="str">
        <x:v>pain quotidien|conakry a verifier</x:v>
      </x:c>
      <x:c r="Z282" s="33" t="str">
        <x:v>224629715454</x:v>
      </x:c>
      <x:c r="AA282" s="33" t="str"/>
    </x:row>
    <x:row r="283">
      <x:c r="A283" s="30" t="str">
        <x:v>À vérifier</x:v>
      </x:c>
      <x:c r="B283" s="30" t="str"/>
      <x:c r="C283" s="31"/>
      <x:c r="D283" s="30" t="str">
        <x:v>Non vérifié</x:v>
      </x:c>
      <x:c r="E283" s="30" t="str"/>
      <x:c r="F283" s="30" t="str"/>
      <x:c r="G283" s="32" t="str"/>
      <x:c r="H283" s="33" t="str">
        <x:f>IF(I283&lt;&gt;"","Doublon possible","")</x:f>
      </x:c>
      <x:c r="I283" s="33" t="str">
        <x:f>IF(COUNTIFS($Y$9:$Y$678,Y283)&gt;1,"Nom + ville",IF(AND(Z283&lt;&gt;"",COUNTIFS($Z$9:$Z$678,Z283)&gt;1),"Téléphone",IF(AND(AA283&lt;&gt;"",COUNTIFS($AA$9:$AA$678,AA283)&gt;1),"Site web","")))</x:f>
      </x:c>
      <x:c r="J283" s="33" t="str">
        <x:v>Pizzeria la cuba</x:v>
      </x:c>
      <x:c r="K283" s="33" t="str">
        <x:v>Restaurants</x:v>
      </x:c>
      <x:c r="L283" s="33" t="str">
        <x:v>Fast-food</x:v>
      </x:c>
      <x:c r="M283" s="33" t="str">
        <x:v>Conakry (à vérifier)</x:v>
      </x:c>
      <x:c r="N283" s="33" t="str"/>
      <x:c r="O283" s="33" t="str"/>
      <x:c r="P283" s="33" t="str">
        <x:v>623370774</x:v>
      </x:c>
      <x:c r="Q283" s="33" t="str"/>
      <x:c r="R283" s="33" t="str"/>
      <x:c r="S283" s="33" t="str"/>
      <x:c r="T283" s="35" t="n">
        <x:v>9.6296159</x:v>
      </x:c>
      <x:c r="U283" s="35" t="n">
        <x:v>-13.5925355</x:v>
      </x:c>
      <x:c r="V283" s="33" t="str">
        <x:v>https://www.openstreetmap.org/node/10262095575</x:v>
      </x:c>
      <x:c r="W283" s="33" t="str">
        <x:v>node/10262095575</x:v>
      </x:c>
      <x:c r="X283" s="33" t="str">
        <x:v>review_required</x:v>
      </x:c>
      <x:c r="Y283" s="33" t="str">
        <x:v>pizzeria la cuba|conakry a verifier</x:v>
      </x:c>
      <x:c r="Z283" s="33" t="str">
        <x:v>224623370774</x:v>
      </x:c>
      <x:c r="AA283" s="33" t="str"/>
    </x:row>
    <x:row r="284">
      <x:c r="A284" s="30" t="str">
        <x:v>À vérifier</x:v>
      </x:c>
      <x:c r="B284" s="30" t="str"/>
      <x:c r="C284" s="31"/>
      <x:c r="D284" s="30" t="str">
        <x:v>Non vérifié</x:v>
      </x:c>
      <x:c r="E284" s="30" t="str"/>
      <x:c r="F284" s="30" t="str"/>
      <x:c r="G284" s="32" t="str"/>
      <x:c r="H284" s="33" t="str">
        <x:f>IF(I284&lt;&gt;"","Doublon possible","")</x:f>
      </x:c>
      <x:c r="I284" s="33" t="str">
        <x:f>IF(COUNTIFS($Y$9:$Y$678,Y284)&gt;1,"Nom + ville",IF(AND(Z284&lt;&gt;"",COUNTIFS($Z$9:$Z$678,Z284)&gt;1),"Téléphone",IF(AND(AA284&lt;&gt;"",COUNTIFS($AA$9:$AA$678,AA284)&gt;1),"Site web","")))</x:f>
      </x:c>
      <x:c r="J284" s="33" t="str">
        <x:v>Pâtisserie Sougue</x:v>
      </x:c>
      <x:c r="K284" s="33" t="str">
        <x:v>Restaurants</x:v>
      </x:c>
      <x:c r="L284" s="33" t="str">
        <x:v>Boulangeries</x:v>
      </x:c>
      <x:c r="M284" s="33" t="str">
        <x:v>Conakry (à vérifier)</x:v>
      </x:c>
      <x:c r="N284" s="33" t="str"/>
      <x:c r="O284" s="33" t="str"/>
      <x:c r="P284" s="33" t="str">
        <x:v>+224622561353</x:v>
      </x:c>
      <x:c r="Q284" s="33" t="str"/>
      <x:c r="R284" s="33" t="str"/>
      <x:c r="S284" s="33" t="str"/>
      <x:c r="T284" s="35" t="n">
        <x:v>9.6623104</x:v>
      </x:c>
      <x:c r="U284" s="35" t="n">
        <x:v>-13.5309881</x:v>
      </x:c>
      <x:c r="V284" s="33" t="str">
        <x:v>https://www.openstreetmap.org/node/5994147763</x:v>
      </x:c>
      <x:c r="W284" s="33" t="str">
        <x:v>node/5994147763</x:v>
      </x:c>
      <x:c r="X284" s="33" t="str">
        <x:v>review_required</x:v>
      </x:c>
      <x:c r="Y284" s="33" t="str">
        <x:v>patisserie sougue|conakry a verifier</x:v>
      </x:c>
      <x:c r="Z284" s="33" t="str">
        <x:v>224622561353</x:v>
      </x:c>
      <x:c r="AA284" s="33" t="str"/>
    </x:row>
    <x:row r="285">
      <x:c r="A285" s="30" t="str">
        <x:v>À vérifier</x:v>
      </x:c>
      <x:c r="B285" s="30" t="str"/>
      <x:c r="C285" s="31"/>
      <x:c r="D285" s="30" t="str">
        <x:v>Non vérifié</x:v>
      </x:c>
      <x:c r="E285" s="30" t="str"/>
      <x:c r="F285" s="30" t="str"/>
      <x:c r="G285" s="32" t="str"/>
      <x:c r="H285" s="33" t="str">
        <x:f>IF(I285&lt;&gt;"","Doublon possible","")</x:f>
      </x:c>
      <x:c r="I285" s="33" t="str">
        <x:f>IF(COUNTIFS($Y$9:$Y$678,Y285)&gt;1,"Nom + ville",IF(AND(Z285&lt;&gt;"",COUNTIFS($Z$9:$Z$678,Z285)&gt;1),"Téléphone",IF(AND(AA285&lt;&gt;"",COUNTIFS($AA$9:$AA$678,AA285)&gt;1),"Site web","")))</x:f>
      </x:c>
      <x:c r="J285" s="33" t="str">
        <x:v>Restaurant &amp; pâtisserie GMS</x:v>
      </x:c>
      <x:c r="K285" s="33" t="str">
        <x:v>Restaurants</x:v>
      </x:c>
      <x:c r="L285" s="33" t="str">
        <x:v>Fast-food</x:v>
      </x:c>
      <x:c r="M285" s="33" t="str">
        <x:v>Conakry (à vérifier)</x:v>
      </x:c>
      <x:c r="N285" s="33" t="str"/>
      <x:c r="O285" s="33" t="str"/>
      <x:c r="P285" s="33" t="str">
        <x:v>+224622526794</x:v>
      </x:c>
      <x:c r="Q285" s="33" t="str"/>
      <x:c r="R285" s="33" t="str"/>
      <x:c r="S285" s="33" t="str"/>
      <x:c r="T285" s="35" t="n">
        <x:v>9.6217153</x:v>
      </x:c>
      <x:c r="U285" s="35" t="n">
        <x:v>-13.5825007</x:v>
      </x:c>
      <x:c r="V285" s="33" t="str">
        <x:v>https://www.openstreetmap.org/node/6001598232</x:v>
      </x:c>
      <x:c r="W285" s="33" t="str">
        <x:v>node/6001598232</x:v>
      </x:c>
      <x:c r="X285" s="33" t="str">
        <x:v>review_required</x:v>
      </x:c>
      <x:c r="Y285" s="33" t="str">
        <x:v>restaurant patisserie gms|conakry a verifier</x:v>
      </x:c>
      <x:c r="Z285" s="33" t="str">
        <x:v>224622526794</x:v>
      </x:c>
      <x:c r="AA285" s="33" t="str"/>
    </x:row>
    <x:row r="286">
      <x:c r="A286" s="30" t="str">
        <x:v>À vérifier</x:v>
      </x:c>
      <x:c r="B286" s="30" t="str"/>
      <x:c r="C286" s="31"/>
      <x:c r="D286" s="30" t="str">
        <x:v>Non vérifié</x:v>
      </x:c>
      <x:c r="E286" s="30" t="str"/>
      <x:c r="F286" s="30" t="str"/>
      <x:c r="G286" s="32" t="str"/>
      <x:c r="H286" s="33" t="str">
        <x:f>IF(I286&lt;&gt;"","Doublon possible","")</x:f>
      </x:c>
      <x:c r="I286" s="33" t="str">
        <x:f>IF(COUNTIFS($Y$9:$Y$678,Y286)&gt;1,"Nom + ville",IF(AND(Z286&lt;&gt;"",COUNTIFS($Z$9:$Z$678,Z286)&gt;1),"Téléphone",IF(AND(AA286&lt;&gt;"",COUNTIFS($AA$9:$AA$678,AA286)&gt;1),"Site web","")))</x:f>
      </x:c>
      <x:c r="J286" s="33" t="str">
        <x:v>Restaurant 6 Kilo</x:v>
      </x:c>
      <x:c r="K286" s="33" t="str">
        <x:v>Restaurants</x:v>
      </x:c>
      <x:c r="L286" s="33" t="str">
        <x:v>Restaurants</x:v>
      </x:c>
      <x:c r="M286" s="33" t="str">
        <x:v>Conakry (à vérifier)</x:v>
      </x:c>
      <x:c r="N286" s="33" t="str"/>
      <x:c r="O286" s="33" t="str"/>
      <x:c r="P286" s="33" t="str">
        <x:v>628154416</x:v>
      </x:c>
      <x:c r="Q286" s="33" t="str"/>
      <x:c r="R286" s="33" t="str"/>
      <x:c r="S286" s="33" t="str"/>
      <x:c r="T286" s="35" t="n">
        <x:v>9.5760176</x:v>
      </x:c>
      <x:c r="U286" s="35" t="n">
        <x:v>-13.6568528</x:v>
      </x:c>
      <x:c r="V286" s="33" t="str">
        <x:v>https://www.openstreetmap.org/node/9063451697</x:v>
      </x:c>
      <x:c r="W286" s="33" t="str">
        <x:v>node/9063451697</x:v>
      </x:c>
      <x:c r="X286" s="33" t="str">
        <x:v>review_required</x:v>
      </x:c>
      <x:c r="Y286" s="33" t="str">
        <x:v>restaurant 6 kilo|conakry a verifier</x:v>
      </x:c>
      <x:c r="Z286" s="33" t="str">
        <x:v>224628154416</x:v>
      </x:c>
      <x:c r="AA286" s="33" t="str"/>
    </x:row>
    <x:row r="287">
      <x:c r="A287" s="30" t="str">
        <x:v>À vérifier</x:v>
      </x:c>
      <x:c r="B287" s="30" t="str"/>
      <x:c r="C287" s="31"/>
      <x:c r="D287" s="30" t="str">
        <x:v>Non vérifié</x:v>
      </x:c>
      <x:c r="E287" s="30" t="str"/>
      <x:c r="F287" s="30" t="str"/>
      <x:c r="G287" s="32" t="str"/>
      <x:c r="H287" s="33" t="str">
        <x:f>IF(I287&lt;&gt;"","Doublon possible","")</x:f>
      </x:c>
      <x:c r="I287" s="33" t="str">
        <x:f>IF(COUNTIFS($Y$9:$Y$678,Y287)&gt;1,"Nom + ville",IF(AND(Z287&lt;&gt;"",COUNTIFS($Z$9:$Z$678,Z287)&gt;1),"Téléphone",IF(AND(AA287&lt;&gt;"",COUNTIFS($AA$9:$AA$678,AA287)&gt;1),"Site web","")))</x:f>
      </x:c>
      <x:c r="J287" s="33" t="str">
        <x:v>Restaurant Aïssatou Nabe</x:v>
      </x:c>
      <x:c r="K287" s="33" t="str">
        <x:v>Restaurants</x:v>
      </x:c>
      <x:c r="L287" s="33" t="str">
        <x:v>Restaurants</x:v>
      </x:c>
      <x:c r="M287" s="33" t="str">
        <x:v>Conakry (à vérifier)</x:v>
      </x:c>
      <x:c r="N287" s="33" t="str"/>
      <x:c r="O287" s="33" t="str"/>
      <x:c r="P287" s="33" t="str">
        <x:v>+224625821383</x:v>
      </x:c>
      <x:c r="Q287" s="33" t="str"/>
      <x:c r="R287" s="33" t="str"/>
      <x:c r="S287" s="33" t="str"/>
      <x:c r="T287" s="35" t="n">
        <x:v>9.5702841</x:v>
      </x:c>
      <x:c r="U287" s="35" t="n">
        <x:v>-13.6305935</x:v>
      </x:c>
      <x:c r="V287" s="33" t="str">
        <x:v>https://www.openstreetmap.org/node/6051520860</x:v>
      </x:c>
      <x:c r="W287" s="33" t="str">
        <x:v>node/6051520860</x:v>
      </x:c>
      <x:c r="X287" s="33" t="str">
        <x:v>review_required</x:v>
      </x:c>
      <x:c r="Y287" s="33" t="str">
        <x:v>restaurant aissatou nabe|conakry a verifier</x:v>
      </x:c>
      <x:c r="Z287" s="33" t="str">
        <x:v>224625821383</x:v>
      </x:c>
      <x:c r="AA287" s="33" t="str"/>
    </x:row>
    <x:row r="288">
      <x:c r="A288" s="30" t="str">
        <x:v>À vérifier</x:v>
      </x:c>
      <x:c r="B288" s="30" t="str"/>
      <x:c r="C288" s="31"/>
      <x:c r="D288" s="30" t="str">
        <x:v>Non vérifié</x:v>
      </x:c>
      <x:c r="E288" s="30" t="str"/>
      <x:c r="F288" s="30" t="str"/>
      <x:c r="G288" s="32" t="str"/>
      <x:c r="H288" s="33" t="str">
        <x:f>IF(I288&lt;&gt;"","Doublon possible","")</x:f>
      </x:c>
      <x:c r="I288" s="33" t="str">
        <x:f>IF(COUNTIFS($Y$9:$Y$678,Y288)&gt;1,"Nom + ville",IF(AND(Z288&lt;&gt;"",COUNTIFS($Z$9:$Z$678,Z288)&gt;1),"Téléphone",IF(AND(AA288&lt;&gt;"",COUNTIFS($AA$9:$AA$678,AA288)&gt;1),"Site web","")))</x:f>
      </x:c>
      <x:c r="J288" s="33" t="str">
        <x:v>Restaurant Best &amp; Friend's</x:v>
      </x:c>
      <x:c r="K288" s="33" t="str">
        <x:v>Restaurants</x:v>
      </x:c>
      <x:c r="L288" s="33" t="str">
        <x:v>Restaurants</x:v>
      </x:c>
      <x:c r="M288" s="33" t="str">
        <x:v>Conakry (à vérifier)</x:v>
      </x:c>
      <x:c r="N288" s="33" t="str"/>
      <x:c r="O288" s="33" t="str"/>
      <x:c r="P288" s="33" t="str">
        <x:v>+224621245445</x:v>
      </x:c>
      <x:c r="Q288" s="33" t="str"/>
      <x:c r="R288" s="33" t="str"/>
      <x:c r="S288" s="33" t="str"/>
      <x:c r="T288" s="35" t="n">
        <x:v>9.6389041</x:v>
      </x:c>
      <x:c r="U288" s="35" t="n">
        <x:v>-13.6170874</x:v>
      </x:c>
      <x:c r="V288" s="33" t="str">
        <x:v>https://www.openstreetmap.org/node/6044920834</x:v>
      </x:c>
      <x:c r="W288" s="33" t="str">
        <x:v>node/6044920834</x:v>
      </x:c>
      <x:c r="X288" s="33" t="str">
        <x:v>review_required</x:v>
      </x:c>
      <x:c r="Y288" s="33" t="str">
        <x:v>restaurant best friend s|conakry a verifier</x:v>
      </x:c>
      <x:c r="Z288" s="33" t="str">
        <x:v>224621245445</x:v>
      </x:c>
      <x:c r="AA288" s="33" t="str"/>
    </x:row>
    <x:row r="289">
      <x:c r="A289" s="30" t="str">
        <x:v>À vérifier</x:v>
      </x:c>
      <x:c r="B289" s="30" t="str"/>
      <x:c r="C289" s="31"/>
      <x:c r="D289" s="30" t="str">
        <x:v>Non vérifié</x:v>
      </x:c>
      <x:c r="E289" s="30" t="str"/>
      <x:c r="F289" s="30" t="str"/>
      <x:c r="G289" s="32" t="str"/>
      <x:c r="H289" s="33" t="str">
        <x:f>IF(I289&lt;&gt;"","Doublon possible","")</x:f>
      </x:c>
      <x:c r="I289" s="33" t="str">
        <x:f>IF(COUNTIFS($Y$9:$Y$678,Y289)&gt;1,"Nom + ville",IF(AND(Z289&lt;&gt;"",COUNTIFS($Z$9:$Z$678,Z289)&gt;1),"Téléphone",IF(AND(AA289&lt;&gt;"",COUNTIFS($AA$9:$AA$678,AA289)&gt;1),"Site web","")))</x:f>
      </x:c>
      <x:c r="J289" s="33" t="str">
        <x:v>Restaurant big fataya</x:v>
      </x:c>
      <x:c r="K289" s="33" t="str">
        <x:v>Restaurants</x:v>
      </x:c>
      <x:c r="L289" s="33" t="str">
        <x:v>Restaurants</x:v>
      </x:c>
      <x:c r="M289" s="33" t="str">
        <x:v>Conakry (à vérifier)</x:v>
      </x:c>
      <x:c r="N289" s="33" t="str"/>
      <x:c r="O289" s="33" t="str"/>
      <x:c r="P289" s="33" t="str">
        <x:v>+224622362006</x:v>
      </x:c>
      <x:c r="Q289" s="33" t="str">
        <x:v>bigfatayasarl@gmail.com</x:v>
      </x:c>
      <x:c r="R289" s="33" t="str"/>
      <x:c r="S289" s="33" t="str"/>
      <x:c r="T289" s="35" t="n">
        <x:v>9.5848241</x:v>
      </x:c>
      <x:c r="U289" s="35" t="n">
        <x:v>-13.6592411</x:v>
      </x:c>
      <x:c r="V289" s="33" t="str">
        <x:v>https://www.openstreetmap.org/node/5964809829</x:v>
      </x:c>
      <x:c r="W289" s="33" t="str">
        <x:v>node/5964809829</x:v>
      </x:c>
      <x:c r="X289" s="33" t="str">
        <x:v>review_required</x:v>
      </x:c>
      <x:c r="Y289" s="33" t="str">
        <x:v>restaurant big fataya|conakry a verifier</x:v>
      </x:c>
      <x:c r="Z289" s="33" t="str">
        <x:v>224622362006</x:v>
      </x:c>
      <x:c r="AA289" s="33" t="str"/>
    </x:row>
    <x:row r="290">
      <x:c r="A290" s="30" t="str">
        <x:v>À vérifier</x:v>
      </x:c>
      <x:c r="B290" s="30" t="str"/>
      <x:c r="C290" s="31"/>
      <x:c r="D290" s="30" t="str">
        <x:v>Non vérifié</x:v>
      </x:c>
      <x:c r="E290" s="30" t="str"/>
      <x:c r="F290" s="30" t="str"/>
      <x:c r="G290" s="32" t="str"/>
      <x:c r="H290" s="33" t="str">
        <x:f>IF(I290&lt;&gt;"","Doublon possible","")</x:f>
      </x:c>
      <x:c r="I290" s="33" t="str">
        <x:f>IF(COUNTIFS($Y$9:$Y$678,Y290)&gt;1,"Nom + ville",IF(AND(Z290&lt;&gt;"",COUNTIFS($Z$9:$Z$678,Z290)&gt;1),"Téléphone",IF(AND(AA290&lt;&gt;"",COUNTIFS($AA$9:$AA$678,AA290)&gt;1),"Site web","")))</x:f>
      </x:c>
      <x:c r="J290" s="33" t="str">
        <x:v>Restaurant Bérété &amp; frère</x:v>
      </x:c>
      <x:c r="K290" s="33" t="str">
        <x:v>Restaurants</x:v>
      </x:c>
      <x:c r="L290" s="33" t="str">
        <x:v>Fast-food</x:v>
      </x:c>
      <x:c r="M290" s="33" t="str">
        <x:v>Conakry (à vérifier)</x:v>
      </x:c>
      <x:c r="N290" s="33" t="str"/>
      <x:c r="O290" s="33" t="str"/>
      <x:c r="P290" s="33" t="str">
        <x:v>+224623894662</x:v>
      </x:c>
      <x:c r="Q290" s="33" t="str"/>
      <x:c r="R290" s="33" t="str"/>
      <x:c r="S290" s="33" t="str"/>
      <x:c r="T290" s="35" t="n">
        <x:v>9.5680946</x:v>
      </x:c>
      <x:c r="U290" s="35" t="n">
        <x:v>-13.6398534</x:v>
      </x:c>
      <x:c r="V290" s="33" t="str">
        <x:v>https://www.openstreetmap.org/node/5839094323</x:v>
      </x:c>
      <x:c r="W290" s="33" t="str">
        <x:v>node/5839094323</x:v>
      </x:c>
      <x:c r="X290" s="33" t="str">
        <x:v>review_required</x:v>
      </x:c>
      <x:c r="Y290" s="33" t="str">
        <x:v>restaurant berete frere|conakry a verifier</x:v>
      </x:c>
      <x:c r="Z290" s="33" t="str">
        <x:v>224623894662</x:v>
      </x:c>
      <x:c r="AA290" s="33" t="str"/>
    </x:row>
    <x:row r="291">
      <x:c r="A291" s="30" t="str">
        <x:v>À vérifier</x:v>
      </x:c>
      <x:c r="B291" s="30" t="str"/>
      <x:c r="C291" s="31"/>
      <x:c r="D291" s="30" t="str">
        <x:v>Non vérifié</x:v>
      </x:c>
      <x:c r="E291" s="30" t="str"/>
      <x:c r="F291" s="30" t="str"/>
      <x:c r="G291" s="32" t="str"/>
      <x:c r="H291" s="33" t="str">
        <x:f>IF(I291&lt;&gt;"","Doublon possible","")</x:f>
      </x:c>
      <x:c r="I291" s="33" t="str">
        <x:f>IF(COUNTIFS($Y$9:$Y$678,Y291)&gt;1,"Nom + ville",IF(AND(Z291&lt;&gt;"",COUNTIFS($Z$9:$Z$678,Z291)&gt;1),"Téléphone",IF(AND(AA291&lt;&gt;"",COUNTIFS($AA$9:$AA$678,AA291)&gt;1),"Site web","")))</x:f>
      </x:c>
      <x:c r="J291" s="33" t="str">
        <x:v>Restaurant chez Tony</x:v>
      </x:c>
      <x:c r="K291" s="33" t="str">
        <x:v>Restaurants</x:v>
      </x:c>
      <x:c r="L291" s="33" t="str">
        <x:v>Restaurants</x:v>
      </x:c>
      <x:c r="M291" s="33" t="str">
        <x:v>Conakry (à vérifier)</x:v>
      </x:c>
      <x:c r="N291" s="33" t="str"/>
      <x:c r="O291" s="33" t="str"/>
      <x:c r="P291" s="33" t="str">
        <x:v>624695183</x:v>
      </x:c>
      <x:c r="Q291" s="33" t="str"/>
      <x:c r="R291" s="33" t="str"/>
      <x:c r="S291" s="33" t="str"/>
      <x:c r="T291" s="35" t="n">
        <x:v>9.5800618</x:v>
      </x:c>
      <x:c r="U291" s="35" t="n">
        <x:v>-13.6635169</x:v>
      </x:c>
      <x:c r="V291" s="33" t="str">
        <x:v>https://www.openstreetmap.org/node/6356565965</x:v>
      </x:c>
      <x:c r="W291" s="33" t="str">
        <x:v>node/6356565965</x:v>
      </x:c>
      <x:c r="X291" s="33" t="str">
        <x:v>review_required</x:v>
      </x:c>
      <x:c r="Y291" s="33" t="str">
        <x:v>restaurant chez tony|conakry a verifier</x:v>
      </x:c>
      <x:c r="Z291" s="33" t="str">
        <x:v>224624695183</x:v>
      </x:c>
      <x:c r="AA291" s="33" t="str"/>
    </x:row>
    <x:row r="292">
      <x:c r="A292" s="30" t="str">
        <x:v>À vérifier</x:v>
      </x:c>
      <x:c r="B292" s="30" t="str"/>
      <x:c r="C292" s="31"/>
      <x:c r="D292" s="30" t="str">
        <x:v>Non vérifié</x:v>
      </x:c>
      <x:c r="E292" s="30" t="str"/>
      <x:c r="F292" s="30" t="str"/>
      <x:c r="G292" s="32" t="str"/>
      <x:c r="H292" s="33" t="str">
        <x:f>IF(I292&lt;&gt;"","Doublon possible","")</x:f>
      </x:c>
      <x:c r="I292" s="33" t="str">
        <x:f>IF(COUNTIFS($Y$9:$Y$678,Y292)&gt;1,"Nom + ville",IF(AND(Z292&lt;&gt;"",COUNTIFS($Z$9:$Z$678,Z292)&gt;1),"Téléphone",IF(AND(AA292&lt;&gt;"",COUNTIFS($AA$9:$AA$678,AA292)&gt;1),"Site web","")))</x:f>
      </x:c>
      <x:c r="J292" s="33" t="str">
        <x:v>Restaurant city bar TMI</x:v>
      </x:c>
      <x:c r="K292" s="33" t="str">
        <x:v>Restaurants</x:v>
      </x:c>
      <x:c r="L292" s="33" t="str">
        <x:v>Fast-food</x:v>
      </x:c>
      <x:c r="M292" s="33" t="str">
        <x:v>Conakry</x:v>
      </x:c>
      <x:c r="N292" s="33" t="str"/>
      <x:c r="O292" s="33" t="str">
        <x:v>lambanyi J9MG+RJ Conakry, Guinée</x:v>
      </x:c>
      <x:c r="P292" s="33" t="str">
        <x:v>+224625241534</x:v>
      </x:c>
      <x:c r="Q292" s="33" t="str"/>
      <x:c r="R292" s="33" t="str"/>
      <x:c r="S292" s="33" t="str"/>
      <x:c r="T292" s="35" t="n">
        <x:v>9.6345259</x:v>
      </x:c>
      <x:c r="U292" s="35" t="n">
        <x:v>-13.6235602</x:v>
      </x:c>
      <x:c r="V292" s="33" t="str">
        <x:v>https://www.openstreetmap.org/node/7375592297</x:v>
      </x:c>
      <x:c r="W292" s="33" t="str">
        <x:v>node/7375592297</x:v>
      </x:c>
      <x:c r="X292" s="33" t="str">
        <x:v>review_required</x:v>
      </x:c>
      <x:c r="Y292" s="33" t="str">
        <x:v>restaurant city bar tmi|conakry</x:v>
      </x:c>
      <x:c r="Z292" s="33" t="str">
        <x:v>224625241534</x:v>
      </x:c>
      <x:c r="AA292" s="33" t="str"/>
    </x:row>
    <x:row r="293">
      <x:c r="A293" s="30" t="str">
        <x:v>À vérifier</x:v>
      </x:c>
      <x:c r="B293" s="30" t="str"/>
      <x:c r="C293" s="31"/>
      <x:c r="D293" s="30" t="str">
        <x:v>Non vérifié</x:v>
      </x:c>
      <x:c r="E293" s="30" t="str"/>
      <x:c r="F293" s="30" t="str"/>
      <x:c r="G293" s="32" t="str"/>
      <x:c r="H293" s="33" t="str">
        <x:f>IF(I293&lt;&gt;"","Doublon possible","")</x:f>
      </x:c>
      <x:c r="I293" s="33" t="str">
        <x:f>IF(COUNTIFS($Y$9:$Y$678,Y293)&gt;1,"Nom + ville",IF(AND(Z293&lt;&gt;"",COUNTIFS($Z$9:$Z$678,Z293)&gt;1),"Téléphone",IF(AND(AA293&lt;&gt;"",COUNTIFS($AA$9:$AA$678,AA293)&gt;1),"Site web","")))</x:f>
      </x:c>
      <x:c r="J293" s="33" t="str">
        <x:v>Restaurant Dantouma</x:v>
      </x:c>
      <x:c r="K293" s="33" t="str">
        <x:v>Restaurants</x:v>
      </x:c>
      <x:c r="L293" s="33" t="str">
        <x:v>Restaurants</x:v>
      </x:c>
      <x:c r="M293" s="33" t="str">
        <x:v>Conakry (à vérifier)</x:v>
      </x:c>
      <x:c r="N293" s="33" t="str"/>
      <x:c r="O293" s="33" t="str"/>
      <x:c r="P293" s="33" t="str">
        <x:v>+224625761728</x:v>
      </x:c>
      <x:c r="Q293" s="33" t="str"/>
      <x:c r="R293" s="33" t="str"/>
      <x:c r="S293" s="33" t="str"/>
      <x:c r="T293" s="35" t="n">
        <x:v>9.6165811</x:v>
      </x:c>
      <x:c r="U293" s="35" t="n">
        <x:v>-13.5867914</x:v>
      </x:c>
      <x:c r="V293" s="33" t="str">
        <x:v>https://www.openstreetmap.org/node/6075998852</x:v>
      </x:c>
      <x:c r="W293" s="33" t="str">
        <x:v>node/6075998852</x:v>
      </x:c>
      <x:c r="X293" s="33" t="str">
        <x:v>review_required</x:v>
      </x:c>
      <x:c r="Y293" s="33" t="str">
        <x:v>restaurant dantouma|conakry a verifier</x:v>
      </x:c>
      <x:c r="Z293" s="33" t="str">
        <x:v>224625761728</x:v>
      </x:c>
      <x:c r="AA293" s="33" t="str"/>
    </x:row>
    <x:row r="294">
      <x:c r="A294" s="30" t="str">
        <x:v>À vérifier</x:v>
      </x:c>
      <x:c r="B294" s="30" t="str"/>
      <x:c r="C294" s="31"/>
      <x:c r="D294" s="30" t="str">
        <x:v>Non vérifié</x:v>
      </x:c>
      <x:c r="E294" s="30" t="str"/>
      <x:c r="F294" s="30" t="str"/>
      <x:c r="G294" s="32" t="str"/>
      <x:c r="H294" s="33" t="str">
        <x:f>IF(I294&lt;&gt;"","Doublon possible","")</x:f>
      </x:c>
      <x:c r="I294" s="33" t="str">
        <x:f>IF(COUNTIFS($Y$9:$Y$678,Y294)&gt;1,"Nom + ville",IF(AND(Z294&lt;&gt;"",COUNTIFS($Z$9:$Z$678,Z294)&gt;1),"Téléphone",IF(AND(AA294&lt;&gt;"",COUNTIFS($AA$9:$AA$678,AA294)&gt;1),"Site web","")))</x:f>
      </x:c>
      <x:c r="J294" s="33" t="str">
        <x:v>Restaurant de la Soumba</x:v>
      </x:c>
      <x:c r="K294" s="33" t="str">
        <x:v>Restaurants</x:v>
      </x:c>
      <x:c r="L294" s="33" t="str">
        <x:v>Restaurants</x:v>
      </x:c>
      <x:c r="M294" s="33" t="str">
        <x:v>Conakry (à vérifier)</x:v>
      </x:c>
      <x:c r="N294" s="33" t="str"/>
      <x:c r="O294" s="33" t="str"/>
      <x:c r="P294" s="33" t="str">
        <x:v>+224 622377920</x:v>
      </x:c>
      <x:c r="Q294" s="33" t="str"/>
      <x:c r="R294" s="33" t="str"/>
      <x:c r="S294" s="33" t="str"/>
      <x:c r="T294" s="35" t="n">
        <x:v>9.7288675</x:v>
      </x:c>
      <x:c r="U294" s="35" t="n">
        <x:v>-13.502127</x:v>
      </x:c>
      <x:c r="V294" s="33" t="str">
        <x:v>https://www.openstreetmap.org/node/6345638305</x:v>
      </x:c>
      <x:c r="W294" s="33" t="str">
        <x:v>node/6345638305</x:v>
      </x:c>
      <x:c r="X294" s="33" t="str">
        <x:v>review_required</x:v>
      </x:c>
      <x:c r="Y294" s="33" t="str">
        <x:v>restaurant de la soumba|conakry a verifier</x:v>
      </x:c>
      <x:c r="Z294" s="33" t="str">
        <x:v>224622377920</x:v>
      </x:c>
      <x:c r="AA294" s="33" t="str"/>
    </x:row>
    <x:row r="295">
      <x:c r="A295" s="30" t="str">
        <x:v>À vérifier</x:v>
      </x:c>
      <x:c r="B295" s="30" t="str"/>
      <x:c r="C295" s="31"/>
      <x:c r="D295" s="30" t="str">
        <x:v>Non vérifié</x:v>
      </x:c>
      <x:c r="E295" s="30" t="str"/>
      <x:c r="F295" s="30" t="str"/>
      <x:c r="G295" s="32" t="str"/>
      <x:c r="H295" s="33" t="str">
        <x:f>IF(I295&lt;&gt;"","Doublon possible","")</x:f>
      </x:c>
      <x:c r="I295" s="33" t="str">
        <x:f>IF(COUNTIFS($Y$9:$Y$678,Y295)&gt;1,"Nom + ville",IF(AND(Z295&lt;&gt;"",COUNTIFS($Z$9:$Z$678,Z295)&gt;1),"Téléphone",IF(AND(AA295&lt;&gt;"",COUNTIFS($AA$9:$AA$678,AA295)&gt;1),"Site web","")))</x:f>
      </x:c>
      <x:c r="J295" s="33" t="str">
        <x:v>Restaurant Djerin</x:v>
      </x:c>
      <x:c r="K295" s="33" t="str">
        <x:v>Restaurants</x:v>
      </x:c>
      <x:c r="L295" s="33" t="str">
        <x:v>Restaurants</x:v>
      </x:c>
      <x:c r="M295" s="33" t="str">
        <x:v>Conakry (à vérifier)</x:v>
      </x:c>
      <x:c r="N295" s="33" t="str"/>
      <x:c r="O295" s="33" t="str"/>
      <x:c r="P295" s="33" t="str">
        <x:v>+224620972796</x:v>
      </x:c>
      <x:c r="Q295" s="33" t="str"/>
      <x:c r="R295" s="33" t="str"/>
      <x:c r="S295" s="33" t="str"/>
      <x:c r="T295" s="35" t="n">
        <x:v>9.5994713</x:v>
      </x:c>
      <x:c r="U295" s="35" t="n">
        <x:v>-13.6135002</x:v>
      </x:c>
      <x:c r="V295" s="33" t="str">
        <x:v>https://www.openstreetmap.org/node/6039943237</x:v>
      </x:c>
      <x:c r="W295" s="33" t="str">
        <x:v>node/6039943237</x:v>
      </x:c>
      <x:c r="X295" s="33" t="str">
        <x:v>review_required</x:v>
      </x:c>
      <x:c r="Y295" s="33" t="str">
        <x:v>restaurant djerin|conakry a verifier</x:v>
      </x:c>
      <x:c r="Z295" s="33" t="str">
        <x:v>224620972796</x:v>
      </x:c>
      <x:c r="AA295" s="33" t="str"/>
    </x:row>
    <x:row r="296">
      <x:c r="A296" s="30" t="str">
        <x:v>À vérifier</x:v>
      </x:c>
      <x:c r="B296" s="30" t="str"/>
      <x:c r="C296" s="31"/>
      <x:c r="D296" s="30" t="str">
        <x:v>Non vérifié</x:v>
      </x:c>
      <x:c r="E296" s="30" t="str"/>
      <x:c r="F296" s="30" t="str"/>
      <x:c r="G296" s="32" t="str"/>
      <x:c r="H296" s="33" t="str">
        <x:f>IF(I296&lt;&gt;"","Doublon possible","")</x:f>
      </x:c>
      <x:c r="I296" s="33" t="str">
        <x:f>IF(COUNTIFS($Y$9:$Y$678,Y296)&gt;1,"Nom + ville",IF(AND(Z296&lt;&gt;"",COUNTIFS($Z$9:$Z$678,Z296)&gt;1),"Téléphone",IF(AND(AA296&lt;&gt;"",COUNTIFS($AA$9:$AA$678,AA296)&gt;1),"Site web","")))</x:f>
      </x:c>
      <x:c r="J296" s="33" t="str">
        <x:v>Restaurant fast food Miré</x:v>
      </x:c>
      <x:c r="K296" s="33" t="str">
        <x:v>Restaurants</x:v>
      </x:c>
      <x:c r="L296" s="33" t="str">
        <x:v>Restaurants</x:v>
      </x:c>
      <x:c r="M296" s="33" t="str">
        <x:v>Conakry (à vérifier)</x:v>
      </x:c>
      <x:c r="N296" s="33" t="str"/>
      <x:c r="O296" s="33" t="str"/>
      <x:c r="P296" s="33" t="str">
        <x:v>+224623925179</x:v>
      </x:c>
      <x:c r="Q296" s="33" t="str"/>
      <x:c r="R296" s="33" t="str"/>
      <x:c r="S296" s="33" t="str"/>
      <x:c r="T296" s="35" t="n">
        <x:v>9.669728</x:v>
      </x:c>
      <x:c r="U296" s="35" t="n">
        <x:v>-13.585244</x:v>
      </x:c>
      <x:c r="V296" s="33" t="str">
        <x:v>https://www.openstreetmap.org/node/6042305833</x:v>
      </x:c>
      <x:c r="W296" s="33" t="str">
        <x:v>node/6042305833</x:v>
      </x:c>
      <x:c r="X296" s="33" t="str">
        <x:v>review_required</x:v>
      </x:c>
      <x:c r="Y296" s="33" t="str">
        <x:v>restaurant fast food mire|conakry a verifier</x:v>
      </x:c>
      <x:c r="Z296" s="33" t="str">
        <x:v>224623925179</x:v>
      </x:c>
      <x:c r="AA296" s="33" t="str"/>
    </x:row>
    <x:row r="297">
      <x:c r="A297" s="30" t="str">
        <x:v>À vérifier</x:v>
      </x:c>
      <x:c r="B297" s="30" t="str"/>
      <x:c r="C297" s="31"/>
      <x:c r="D297" s="30" t="str">
        <x:v>Non vérifié</x:v>
      </x:c>
      <x:c r="E297" s="30" t="str"/>
      <x:c r="F297" s="30" t="str"/>
      <x:c r="G297" s="32" t="str"/>
      <x:c r="H297" s="33" t="str">
        <x:f>IF(I297&lt;&gt;"","Doublon possible","")</x:f>
      </x:c>
      <x:c r="I297" s="33" t="str">
        <x:f>IF(COUNTIFS($Y$9:$Y$678,Y297)&gt;1,"Nom + ville",IF(AND(Z297&lt;&gt;"",COUNTIFS($Z$9:$Z$678,Z297)&gt;1),"Téléphone",IF(AND(AA297&lt;&gt;"",COUNTIFS($AA$9:$AA$678,AA297)&gt;1),"Site web","")))</x:f>
      </x:c>
      <x:c r="J297" s="33" t="str">
        <x:v>Restaurant filles d'élite UGANC</x:v>
      </x:c>
      <x:c r="K297" s="33" t="str">
        <x:v>Restaurants</x:v>
      </x:c>
      <x:c r="L297" s="33" t="str">
        <x:v>Restaurants</x:v>
      </x:c>
      <x:c r="M297" s="33" t="str">
        <x:v>Conakry (à vérifier)</x:v>
      </x:c>
      <x:c r="N297" s="33" t="str"/>
      <x:c r="O297" s="33" t="str"/>
      <x:c r="P297" s="33" t="str">
        <x:v>+224621084724</x:v>
      </x:c>
      <x:c r="Q297" s="33" t="str"/>
      <x:c r="R297" s="33" t="str"/>
      <x:c r="S297" s="33" t="str"/>
      <x:c r="T297" s="35" t="n">
        <x:v>9.5441083</x:v>
      </x:c>
      <x:c r="U297" s="35" t="n">
        <x:v>-13.6780922</x:v>
      </x:c>
      <x:c r="V297" s="33" t="str">
        <x:v>https://www.openstreetmap.org/node/5951446655</x:v>
      </x:c>
      <x:c r="W297" s="33" t="str">
        <x:v>node/5951446655</x:v>
      </x:c>
      <x:c r="X297" s="33" t="str">
        <x:v>review_required</x:v>
      </x:c>
      <x:c r="Y297" s="33" t="str">
        <x:v>restaurant filles d elite uganc|conakry a verifier</x:v>
      </x:c>
      <x:c r="Z297" s="33" t="str">
        <x:v>224621084724</x:v>
      </x:c>
      <x:c r="AA297" s="33" t="str"/>
    </x:row>
    <x:row r="298">
      <x:c r="A298" s="30" t="str">
        <x:v>À vérifier</x:v>
      </x:c>
      <x:c r="B298" s="30" t="str"/>
      <x:c r="C298" s="31"/>
      <x:c r="D298" s="30" t="str">
        <x:v>Non vérifié</x:v>
      </x:c>
      <x:c r="E298" s="30" t="str"/>
      <x:c r="F298" s="30" t="str"/>
      <x:c r="G298" s="32" t="str"/>
      <x:c r="H298" s="33" t="str">
        <x:f>IF(I298&lt;&gt;"","Doublon possible","")</x:f>
      </x:c>
      <x:c r="I298" s="33" t="str">
        <x:f>IF(COUNTIFS($Y$9:$Y$678,Y298)&gt;1,"Nom + ville",IF(AND(Z298&lt;&gt;"",COUNTIFS($Z$9:$Z$678,Z298)&gt;1),"Téléphone",IF(AND(AA298&lt;&gt;"",COUNTIFS($AA$9:$AA$678,AA298)&gt;1),"Site web","")))</x:f>
      </x:c>
      <x:c r="J298" s="33" t="str">
        <x:v>Restaurant foody's</x:v>
      </x:c>
      <x:c r="K298" s="33" t="str">
        <x:v>Restaurants</x:v>
      </x:c>
      <x:c r="L298" s="33" t="str">
        <x:v>Restaurants</x:v>
      </x:c>
      <x:c r="M298" s="33" t="str">
        <x:v>Conakry (à vérifier)</x:v>
      </x:c>
      <x:c r="N298" s="33" t="str"/>
      <x:c r="O298" s="33" t="str"/>
      <x:c r="P298" s="33" t="str">
        <x:v>+224622238218</x:v>
      </x:c>
      <x:c r="Q298" s="33" t="str"/>
      <x:c r="R298" s="33" t="str"/>
      <x:c r="S298" s="33" t="str"/>
      <x:c r="T298" s="35" t="n">
        <x:v>9.6677193</x:v>
      </x:c>
      <x:c r="U298" s="35" t="n">
        <x:v>-13.5246534</x:v>
      </x:c>
      <x:c r="V298" s="33" t="str">
        <x:v>https://www.openstreetmap.org/node/5994133570</x:v>
      </x:c>
      <x:c r="W298" s="33" t="str">
        <x:v>node/5994133570</x:v>
      </x:c>
      <x:c r="X298" s="33" t="str">
        <x:v>review_required</x:v>
      </x:c>
      <x:c r="Y298" s="33" t="str">
        <x:v>restaurant foody s|conakry a verifier</x:v>
      </x:c>
      <x:c r="Z298" s="33" t="str">
        <x:v>224622238218</x:v>
      </x:c>
      <x:c r="AA298" s="33" t="str"/>
    </x:row>
    <x:row r="299">
      <x:c r="A299" s="30" t="str">
        <x:v>À vérifier</x:v>
      </x:c>
      <x:c r="B299" s="30" t="str"/>
      <x:c r="C299" s="31"/>
      <x:c r="D299" s="30" t="str">
        <x:v>Non vérifié</x:v>
      </x:c>
      <x:c r="E299" s="30" t="str"/>
      <x:c r="F299" s="30" t="str"/>
      <x:c r="G299" s="32" t="str"/>
      <x:c r="H299" s="33" t="str">
        <x:f>IF(I299&lt;&gt;"","Doublon possible","")</x:f>
      </x:c>
      <x:c r="I299" s="33" t="str">
        <x:f>IF(COUNTIFS($Y$9:$Y$678,Y299)&gt;1,"Nom + ville",IF(AND(Z299&lt;&gt;"",COUNTIFS($Z$9:$Z$678,Z299)&gt;1),"Téléphone",IF(AND(AA299&lt;&gt;"",COUNTIFS($AA$9:$AA$678,AA299)&gt;1),"Site web","")))</x:f>
      </x:c>
      <x:c r="J299" s="33" t="str">
        <x:v>Restaurant Golden Food</x:v>
      </x:c>
      <x:c r="K299" s="33" t="str">
        <x:v>Restaurants</x:v>
      </x:c>
      <x:c r="L299" s="33" t="str">
        <x:v>Restaurants</x:v>
      </x:c>
      <x:c r="M299" s="33" t="str">
        <x:v>Conakry (à vérifier)</x:v>
      </x:c>
      <x:c r="N299" s="33" t="str"/>
      <x:c r="O299" s="33" t="str"/>
      <x:c r="P299" s="33" t="str">
        <x:v>621042921</x:v>
      </x:c>
      <x:c r="Q299" s="33" t="str"/>
      <x:c r="R299" s="33" t="str"/>
      <x:c r="S299" s="33" t="str"/>
      <x:c r="T299" s="35" t="n">
        <x:v>9.5822141</x:v>
      </x:c>
      <x:c r="U299" s="35" t="n">
        <x:v>-13.6628127</x:v>
      </x:c>
      <x:c r="V299" s="33" t="str">
        <x:v>https://www.openstreetmap.org/node/6324843075</x:v>
      </x:c>
      <x:c r="W299" s="33" t="str">
        <x:v>node/6324843075</x:v>
      </x:c>
      <x:c r="X299" s="33" t="str">
        <x:v>review_required</x:v>
      </x:c>
      <x:c r="Y299" s="33" t="str">
        <x:v>restaurant golden food|conakry a verifier</x:v>
      </x:c>
      <x:c r="Z299" s="33" t="str">
        <x:v>224621042921</x:v>
      </x:c>
      <x:c r="AA299" s="33" t="str"/>
    </x:row>
    <x:row r="300">
      <x:c r="A300" s="30" t="str">
        <x:v>À vérifier</x:v>
      </x:c>
      <x:c r="B300" s="30" t="str"/>
      <x:c r="C300" s="31"/>
      <x:c r="D300" s="30" t="str">
        <x:v>Non vérifié</x:v>
      </x:c>
      <x:c r="E300" s="30" t="str"/>
      <x:c r="F300" s="30" t="str"/>
      <x:c r="G300" s="32" t="str"/>
      <x:c r="H300" s="33" t="str">
        <x:f>IF(I300&lt;&gt;"","Doublon possible","")</x:f>
      </x:c>
      <x:c r="I300" s="33" t="str">
        <x:f>IF(COUNTIFS($Y$9:$Y$678,Y300)&gt;1,"Nom + ville",IF(AND(Z300&lt;&gt;"",COUNTIFS($Z$9:$Z$678,Z300)&gt;1),"Téléphone",IF(AND(AA300&lt;&gt;"",COUNTIFS($AA$9:$AA$678,AA300)&gt;1),"Site web","")))</x:f>
      </x:c>
      <x:c r="J300" s="33" t="str">
        <x:v>restaurant istanbul</x:v>
      </x:c>
      <x:c r="K300" s="33" t="str">
        <x:v>Restaurants</x:v>
      </x:c>
      <x:c r="L300" s="33" t="str">
        <x:v>Restaurants</x:v>
      </x:c>
      <x:c r="M300" s="33" t="str">
        <x:v>Conakry (à vérifier)</x:v>
      </x:c>
      <x:c r="N300" s="33" t="str"/>
      <x:c r="O300" s="33" t="str">
        <x:v>5e Avenue</x:v>
      </x:c>
      <x:c r="P300" s="33" t="str">
        <x:v>655909000</x:v>
      </x:c>
      <x:c r="Q300" s="33" t="str"/>
      <x:c r="R300" s="33" t="str">
        <x:v>https://www.istanbulguinee.com/</x:v>
      </x:c>
      <x:c r="S300" s="33" t="str"/>
      <x:c r="T300" s="35" t="n">
        <x:v>9.5084535</x:v>
      </x:c>
      <x:c r="U300" s="35" t="n">
        <x:v>-13.711998</x:v>
      </x:c>
      <x:c r="V300" s="33" t="str">
        <x:v>https://www.openstreetmap.org/node/4553647690</x:v>
      </x:c>
      <x:c r="W300" s="33" t="str">
        <x:v>node/4553647690</x:v>
      </x:c>
      <x:c r="X300" s="33" t="str">
        <x:v>review_required</x:v>
      </x:c>
      <x:c r="Y300" s="33" t="str">
        <x:v>restaurant istanbul|conakry a verifier</x:v>
      </x:c>
      <x:c r="Z300" s="33" t="str">
        <x:v>224655909000</x:v>
      </x:c>
      <x:c r="AA300" s="33" t="str">
        <x:v>istanbulguinee.com</x:v>
      </x:c>
    </x:row>
    <x:row r="301">
      <x:c r="A301" s="30" t="str">
        <x:v>À vérifier</x:v>
      </x:c>
      <x:c r="B301" s="30" t="str"/>
      <x:c r="C301" s="31"/>
      <x:c r="D301" s="30" t="str">
        <x:v>Non vérifié</x:v>
      </x:c>
      <x:c r="E301" s="30" t="str"/>
      <x:c r="F301" s="30" t="str"/>
      <x:c r="G301" s="32" t="str"/>
      <x:c r="H301" s="33" t="str">
        <x:f>IF(I301&lt;&gt;"","Doublon possible","")</x:f>
      </x:c>
      <x:c r="I301" s="33" t="str">
        <x:f>IF(COUNTIFS($Y$9:$Y$678,Y301)&gt;1,"Nom + ville",IF(AND(Z301&lt;&gt;"",COUNTIFS($Z$9:$Z$678,Z301)&gt;1),"Téléphone",IF(AND(AA301&lt;&gt;"",COUNTIFS($AA$9:$AA$678,AA301)&gt;1),"Site web","")))</x:f>
      </x:c>
      <x:c r="J301" s="33" t="str">
        <x:v>Restaurant Kady</x:v>
      </x:c>
      <x:c r="K301" s="33" t="str">
        <x:v>Restaurants</x:v>
      </x:c>
      <x:c r="L301" s="33" t="str">
        <x:v>Restaurants</x:v>
      </x:c>
      <x:c r="M301" s="33" t="str">
        <x:v>Conakry (à vérifier)</x:v>
      </x:c>
      <x:c r="N301" s="33" t="str"/>
      <x:c r="O301" s="33" t="str"/>
      <x:c r="P301" s="33" t="str">
        <x:v>+224664616008</x:v>
      </x:c>
      <x:c r="Q301" s="33" t="str"/>
      <x:c r="R301" s="33" t="str"/>
      <x:c r="S301" s="33" t="str"/>
      <x:c r="T301" s="35" t="n">
        <x:v>9.6387887</x:v>
      </x:c>
      <x:c r="U301" s="35" t="n">
        <x:v>-13.6159497</x:v>
      </x:c>
      <x:c r="V301" s="33" t="str">
        <x:v>https://www.openstreetmap.org/node/6044919917</x:v>
      </x:c>
      <x:c r="W301" s="33" t="str">
        <x:v>node/6044919917</x:v>
      </x:c>
      <x:c r="X301" s="33" t="str">
        <x:v>review_required</x:v>
      </x:c>
      <x:c r="Y301" s="33" t="str">
        <x:v>restaurant kady|conakry a verifier</x:v>
      </x:c>
      <x:c r="Z301" s="33" t="str">
        <x:v>224664616008</x:v>
      </x:c>
      <x:c r="AA301" s="33" t="str"/>
    </x:row>
    <x:row r="302">
      <x:c r="A302" s="30" t="str">
        <x:v>À vérifier</x:v>
      </x:c>
      <x:c r="B302" s="30" t="str"/>
      <x:c r="C302" s="31"/>
      <x:c r="D302" s="30" t="str">
        <x:v>Non vérifié</x:v>
      </x:c>
      <x:c r="E302" s="30" t="str"/>
      <x:c r="F302" s="30" t="str"/>
      <x:c r="G302" s="32" t="str"/>
      <x:c r="H302" s="33" t="str">
        <x:f>IF(I302&lt;&gt;"","Doublon possible","")</x:f>
      </x:c>
      <x:c r="I302" s="33" t="str">
        <x:f>IF(COUNTIFS($Y$9:$Y$678,Y302)&gt;1,"Nom + ville",IF(AND(Z302&lt;&gt;"",COUNTIFS($Z$9:$Z$678,Z302)&gt;1),"Téléphone",IF(AND(AA302&lt;&gt;"",COUNTIFS($AA$9:$AA$678,AA302)&gt;1),"Site web","")))</x:f>
      </x:c>
      <x:c r="J302" s="33" t="str">
        <x:v>Restaurant la Nathalie</x:v>
      </x:c>
      <x:c r="K302" s="33" t="str">
        <x:v>Restaurants</x:v>
      </x:c>
      <x:c r="L302" s="33" t="str">
        <x:v>Restaurants</x:v>
      </x:c>
      <x:c r="M302" s="33" t="str">
        <x:v>Conakry (à vérifier)</x:v>
      </x:c>
      <x:c r="N302" s="33" t="str"/>
      <x:c r="O302" s="33" t="str"/>
      <x:c r="P302" s="33" t="str">
        <x:v>+224620715160</x:v>
      </x:c>
      <x:c r="Q302" s="33" t="str"/>
      <x:c r="R302" s="33" t="str"/>
      <x:c r="S302" s="33" t="str"/>
      <x:c r="T302" s="35" t="n">
        <x:v>9.62367</x:v>
      </x:c>
      <x:c r="U302" s="35" t="n">
        <x:v>-13.5808467</x:v>
      </x:c>
      <x:c r="V302" s="33" t="str">
        <x:v>https://www.openstreetmap.org/node/6076005143</x:v>
      </x:c>
      <x:c r="W302" s="33" t="str">
        <x:v>node/6076005143</x:v>
      </x:c>
      <x:c r="X302" s="33" t="str">
        <x:v>review_required</x:v>
      </x:c>
      <x:c r="Y302" s="33" t="str">
        <x:v>restaurant la nathalie|conakry a verifier</x:v>
      </x:c>
      <x:c r="Z302" s="33" t="str">
        <x:v>224620715160</x:v>
      </x:c>
      <x:c r="AA302" s="33" t="str"/>
    </x:row>
    <x:row r="303">
      <x:c r="A303" s="30" t="str">
        <x:v>À vérifier</x:v>
      </x:c>
      <x:c r="B303" s="30" t="str"/>
      <x:c r="C303" s="31"/>
      <x:c r="D303" s="30" t="str">
        <x:v>Non vérifié</x:v>
      </x:c>
      <x:c r="E303" s="30" t="str"/>
      <x:c r="F303" s="30" t="str"/>
      <x:c r="G303" s="32" t="str"/>
      <x:c r="H303" s="33" t="str">
        <x:f>IF(I303&lt;&gt;"","Doublon possible","")</x:f>
      </x:c>
      <x:c r="I303" s="33" t="str">
        <x:f>IF(COUNTIFS($Y$9:$Y$678,Y303)&gt;1,"Nom + ville",IF(AND(Z303&lt;&gt;"",COUNTIFS($Z$9:$Z$678,Z303)&gt;1),"Téléphone",IF(AND(AA303&lt;&gt;"",COUNTIFS($AA$9:$AA$678,AA303)&gt;1),"Site web","")))</x:f>
      </x:c>
      <x:c r="J303" s="33" t="str">
        <x:v>Restaurant le Paname</x:v>
      </x:c>
      <x:c r="K303" s="33" t="str">
        <x:v>Restaurants</x:v>
      </x:c>
      <x:c r="L303" s="33" t="str">
        <x:v>Restaurants</x:v>
      </x:c>
      <x:c r="M303" s="33" t="str">
        <x:v>Conakry (à vérifier)</x:v>
      </x:c>
      <x:c r="N303" s="33" t="str"/>
      <x:c r="O303" s="33" t="str"/>
      <x:c r="P303" s="33" t="str">
        <x:v>+224622593429</x:v>
      </x:c>
      <x:c r="Q303" s="33" t="str">
        <x:v>kalyelhadji@gmail.com</x:v>
      </x:c>
      <x:c r="R303" s="33" t="str"/>
      <x:c r="S303" s="33" t="str"/>
      <x:c r="T303" s="35" t="n">
        <x:v>9.6313784</x:v>
      </x:c>
      <x:c r="U303" s="35" t="n">
        <x:v>-13.6286194</x:v>
      </x:c>
      <x:c r="V303" s="33" t="str">
        <x:v>https://www.openstreetmap.org/node/6044917087</x:v>
      </x:c>
      <x:c r="W303" s="33" t="str">
        <x:v>node/6044917087</x:v>
      </x:c>
      <x:c r="X303" s="33" t="str">
        <x:v>review_required</x:v>
      </x:c>
      <x:c r="Y303" s="33" t="str">
        <x:v>restaurant le paname|conakry a verifier</x:v>
      </x:c>
      <x:c r="Z303" s="33" t="str">
        <x:v>224622593429</x:v>
      </x:c>
      <x:c r="AA303" s="33" t="str"/>
    </x:row>
    <x:row r="304">
      <x:c r="A304" s="30" t="str">
        <x:v>À vérifier</x:v>
      </x:c>
      <x:c r="B304" s="30" t="str"/>
      <x:c r="C304" s="31"/>
      <x:c r="D304" s="30" t="str">
        <x:v>Non vérifié</x:v>
      </x:c>
      <x:c r="E304" s="30" t="str"/>
      <x:c r="F304" s="30" t="str"/>
      <x:c r="G304" s="32" t="str"/>
      <x:c r="H304" s="33" t="str">
        <x:f>IF(I304&lt;&gt;"","Doublon possible","")</x:f>
      </x:c>
      <x:c r="I304" s="33" t="str">
        <x:f>IF(COUNTIFS($Y$9:$Y$678,Y304)&gt;1,"Nom + ville",IF(AND(Z304&lt;&gt;"",COUNTIFS($Z$9:$Z$678,Z304)&gt;1),"Téléphone",IF(AND(AA304&lt;&gt;"",COUNTIFS($AA$9:$AA$678,AA304)&gt;1),"Site web","")))</x:f>
      </x:c>
      <x:c r="J304" s="33" t="str">
        <x:v>Restaurant Mme Traoré Mama Saran</x:v>
      </x:c>
      <x:c r="K304" s="33" t="str">
        <x:v>Restaurants</x:v>
      </x:c>
      <x:c r="L304" s="33" t="str">
        <x:v>Restaurants</x:v>
      </x:c>
      <x:c r="M304" s="33" t="str">
        <x:v>Conakry (à vérifier)</x:v>
      </x:c>
      <x:c r="N304" s="33" t="str"/>
      <x:c r="O304" s="33" t="str"/>
      <x:c r="P304" s="33" t="str">
        <x:v>+224620854722</x:v>
      </x:c>
      <x:c r="Q304" s="33" t="str"/>
      <x:c r="R304" s="33" t="str"/>
      <x:c r="S304" s="33" t="str"/>
      <x:c r="T304" s="35" t="n">
        <x:v>9.6708487</x:v>
      </x:c>
      <x:c r="U304" s="35" t="n">
        <x:v>-13.5840645</x:v>
      </x:c>
      <x:c r="V304" s="33" t="str">
        <x:v>https://www.openstreetmap.org/node/6042307259</x:v>
      </x:c>
      <x:c r="W304" s="33" t="str">
        <x:v>node/6042307259</x:v>
      </x:c>
      <x:c r="X304" s="33" t="str">
        <x:v>review_required</x:v>
      </x:c>
      <x:c r="Y304" s="33" t="str">
        <x:v>restaurant mme traore mama saran|conakry a verifier</x:v>
      </x:c>
      <x:c r="Z304" s="33" t="str">
        <x:v>224620854722</x:v>
      </x:c>
      <x:c r="AA304" s="33" t="str"/>
    </x:row>
    <x:row r="305">
      <x:c r="A305" s="30" t="str">
        <x:v>À vérifier</x:v>
      </x:c>
      <x:c r="B305" s="30" t="str"/>
      <x:c r="C305" s="31"/>
      <x:c r="D305" s="30" t="str">
        <x:v>Non vérifié</x:v>
      </x:c>
      <x:c r="E305" s="30" t="str"/>
      <x:c r="F305" s="30" t="str"/>
      <x:c r="G305" s="32" t="str"/>
      <x:c r="H305" s="33" t="str">
        <x:f>IF(I305&lt;&gt;"","Doublon possible","")</x:f>
      </x:c>
      <x:c r="I305" s="33" t="str">
        <x:f>IF(COUNTIFS($Y$9:$Y$678,Y305)&gt;1,"Nom + ville",IF(AND(Z305&lt;&gt;"",COUNTIFS($Z$9:$Z$678,Z305)&gt;1),"Téléphone",IF(AND(AA305&lt;&gt;"",COUNTIFS($AA$9:$AA$678,AA305)&gt;1),"Site web","")))</x:f>
      </x:c>
      <x:c r="J305" s="33" t="str">
        <x:v>Restaurant Néminordei</x:v>
      </x:c>
      <x:c r="K305" s="33" t="str">
        <x:v>Restaurants</x:v>
      </x:c>
      <x:c r="L305" s="33" t="str">
        <x:v>Restaurants</x:v>
      </x:c>
      <x:c r="M305" s="33" t="str">
        <x:v>Conakry (à vérifier)</x:v>
      </x:c>
      <x:c r="N305" s="33" t="str"/>
      <x:c r="O305" s="33" t="str"/>
      <x:c r="P305" s="33" t="str">
        <x:v>621397170</x:v>
      </x:c>
      <x:c r="Q305" s="33" t="str"/>
      <x:c r="R305" s="33" t="str"/>
      <x:c r="S305" s="33" t="str"/>
      <x:c r="T305" s="35" t="n">
        <x:v>9.7138143</x:v>
      </x:c>
      <x:c r="U305" s="35" t="n">
        <x:v>-13.504542</x:v>
      </x:c>
      <x:c r="V305" s="33" t="str">
        <x:v>https://www.openstreetmap.org/node/10963608053</x:v>
      </x:c>
      <x:c r="W305" s="33" t="str">
        <x:v>node/10963608053</x:v>
      </x:c>
      <x:c r="X305" s="33" t="str">
        <x:v>review_required</x:v>
      </x:c>
      <x:c r="Y305" s="33" t="str">
        <x:v>restaurant neminordei|conakry a verifier</x:v>
      </x:c>
      <x:c r="Z305" s="33" t="str">
        <x:v>224621397170</x:v>
      </x:c>
      <x:c r="AA305" s="33" t="str"/>
    </x:row>
    <x:row r="306">
      <x:c r="A306" s="30" t="str">
        <x:v>À vérifier</x:v>
      </x:c>
      <x:c r="B306" s="30" t="str"/>
      <x:c r="C306" s="31"/>
      <x:c r="D306" s="30" t="str">
        <x:v>Non vérifié</x:v>
      </x:c>
      <x:c r="E306" s="30" t="str"/>
      <x:c r="F306" s="30" t="str"/>
      <x:c r="G306" s="32" t="str"/>
      <x:c r="H306" s="33" t="str">
        <x:f>IF(I306&lt;&gt;"","Doublon possible","")</x:f>
      </x:c>
      <x:c r="I306" s="33" t="str">
        <x:f>IF(COUNTIFS($Y$9:$Y$678,Y306)&gt;1,"Nom + ville",IF(AND(Z306&lt;&gt;"",COUNTIFS($Z$9:$Z$678,Z306)&gt;1),"Téléphone",IF(AND(AA306&lt;&gt;"",COUNTIFS($AA$9:$AA$678,AA306)&gt;1),"Site web","")))</x:f>
      </x:c>
      <x:c r="J306" s="33" t="str">
        <x:v>Restaurant Olive</x:v>
      </x:c>
      <x:c r="K306" s="33" t="str">
        <x:v>Restaurants</x:v>
      </x:c>
      <x:c r="L306" s="33" t="str">
        <x:v>Restaurants</x:v>
      </x:c>
      <x:c r="M306" s="33" t="str">
        <x:v>Conakry (à vérifier)</x:v>
      </x:c>
      <x:c r="N306" s="33" t="str"/>
      <x:c r="O306" s="33" t="str">
        <x:v>Transversale 3</x:v>
      </x:c>
      <x:c r="P306" s="33" t="str">
        <x:v>+224611823282</x:v>
      </x:c>
      <x:c r="Q306" s="33" t="str"/>
      <x:c r="R306" s="33" t="str"/>
      <x:c r="S306" s="33" t="str"/>
      <x:c r="T306" s="35" t="n">
        <x:v>9.6185165</x:v>
      </x:c>
      <x:c r="U306" s="35" t="n">
        <x:v>-13.6216696</x:v>
      </x:c>
      <x:c r="V306" s="33" t="str">
        <x:v>https://www.openstreetmap.org/node/10772767722</x:v>
      </x:c>
      <x:c r="W306" s="33" t="str">
        <x:v>node/10772767722</x:v>
      </x:c>
      <x:c r="X306" s="33" t="str">
        <x:v>review_required</x:v>
      </x:c>
      <x:c r="Y306" s="33" t="str">
        <x:v>restaurant olive|conakry a verifier</x:v>
      </x:c>
      <x:c r="Z306" s="33" t="str">
        <x:v>224611823282</x:v>
      </x:c>
      <x:c r="AA306" s="33" t="str"/>
    </x:row>
    <x:row r="307">
      <x:c r="A307" s="30" t="str">
        <x:v>À vérifier</x:v>
      </x:c>
      <x:c r="B307" s="30" t="str"/>
      <x:c r="C307" s="31"/>
      <x:c r="D307" s="30" t="str">
        <x:v>Non vérifié</x:v>
      </x:c>
      <x:c r="E307" s="30" t="str"/>
      <x:c r="F307" s="30" t="str"/>
      <x:c r="G307" s="32" t="str"/>
      <x:c r="H307" s="33" t="str">
        <x:f>IF(I307&lt;&gt;"","Doublon possible","")</x:f>
      </x:c>
      <x:c r="I307" s="33" t="str">
        <x:f>IF(COUNTIFS($Y$9:$Y$678,Y307)&gt;1,"Nom + ville",IF(AND(Z307&lt;&gt;"",COUNTIFS($Z$9:$Z$678,Z307)&gt;1),"Téléphone",IF(AND(AA307&lt;&gt;"",COUNTIFS($AA$9:$AA$678,AA307)&gt;1),"Site web","")))</x:f>
      </x:c>
      <x:c r="J307" s="33" t="str">
        <x:v>Restaurant Plaza</x:v>
      </x:c>
      <x:c r="K307" s="33" t="str">
        <x:v>Restaurants</x:v>
      </x:c>
      <x:c r="L307" s="33" t="str">
        <x:v>Restaurants</x:v>
      </x:c>
      <x:c r="M307" s="33" t="str">
        <x:v>Conakry (à vérifier)</x:v>
      </x:c>
      <x:c r="N307" s="33" t="str"/>
      <x:c r="O307" s="33" t="str"/>
      <x:c r="P307" s="33" t="str">
        <x:v>621023264</x:v>
      </x:c>
      <x:c r="Q307" s="33" t="str"/>
      <x:c r="R307" s="33" t="str"/>
      <x:c r="S307" s="33" t="str"/>
      <x:c r="T307" s="35" t="n">
        <x:v>9.6307775</x:v>
      </x:c>
      <x:c r="U307" s="35" t="n">
        <x:v>-13.5781626</x:v>
      </x:c>
      <x:c r="V307" s="33" t="str">
        <x:v>https://www.openstreetmap.org/node/7014219631</x:v>
      </x:c>
      <x:c r="W307" s="33" t="str">
        <x:v>node/7014219631</x:v>
      </x:c>
      <x:c r="X307" s="33" t="str">
        <x:v>review_required</x:v>
      </x:c>
      <x:c r="Y307" s="33" t="str">
        <x:v>restaurant plaza|conakry a verifier</x:v>
      </x:c>
      <x:c r="Z307" s="33" t="str">
        <x:v>224621023264</x:v>
      </x:c>
      <x:c r="AA307" s="33" t="str"/>
    </x:row>
    <x:row r="308">
      <x:c r="A308" s="30" t="str">
        <x:v>À vérifier</x:v>
      </x:c>
      <x:c r="B308" s="30" t="str"/>
      <x:c r="C308" s="31"/>
      <x:c r="D308" s="30" t="str">
        <x:v>Non vérifié</x:v>
      </x:c>
      <x:c r="E308" s="30" t="str"/>
      <x:c r="F308" s="30" t="str"/>
      <x:c r="G308" s="32" t="str"/>
      <x:c r="H308" s="33" t="str">
        <x:f>IF(I308&lt;&gt;"","Doublon possible","")</x:f>
      </x:c>
      <x:c r="I308" s="33" t="str">
        <x:f>IF(COUNTIFS($Y$9:$Y$678,Y308)&gt;1,"Nom + ville",IF(AND(Z308&lt;&gt;"",COUNTIFS($Z$9:$Z$678,Z308)&gt;1),"Téléphone",IF(AND(AA308&lt;&gt;"",COUNTIFS($AA$9:$AA$678,AA308)&gt;1),"Site web","")))</x:f>
      </x:c>
      <x:c r="J308" s="33" t="str">
        <x:v>Restaurant Samuel</x:v>
      </x:c>
      <x:c r="K308" s="33" t="str">
        <x:v>Restaurants</x:v>
      </x:c>
      <x:c r="L308" s="33" t="str">
        <x:v>Restaurants</x:v>
      </x:c>
      <x:c r="M308" s="33" t="str">
        <x:v>Conakry (à vérifier)</x:v>
      </x:c>
      <x:c r="N308" s="33" t="str"/>
      <x:c r="O308" s="33" t="str"/>
      <x:c r="P308" s="33" t="str">
        <x:v>+224662602013</x:v>
      </x:c>
      <x:c r="Q308" s="33" t="str"/>
      <x:c r="R308" s="33" t="str"/>
      <x:c r="S308" s="33" t="str"/>
      <x:c r="T308" s="35" t="n">
        <x:v>9.6382113</x:v>
      </x:c>
      <x:c r="U308" s="35" t="n">
        <x:v>-13.6153508</x:v>
      </x:c>
      <x:c r="V308" s="33" t="str">
        <x:v>https://www.openstreetmap.org/node/6044919129</x:v>
      </x:c>
      <x:c r="W308" s="33" t="str">
        <x:v>node/6044919129</x:v>
      </x:c>
      <x:c r="X308" s="33" t="str">
        <x:v>review_required</x:v>
      </x:c>
      <x:c r="Y308" s="33" t="str">
        <x:v>restaurant samuel|conakry a verifier</x:v>
      </x:c>
      <x:c r="Z308" s="33" t="str">
        <x:v>224662602013</x:v>
      </x:c>
      <x:c r="AA308" s="33" t="str"/>
    </x:row>
    <x:row r="309">
      <x:c r="A309" s="30" t="str">
        <x:v>À vérifier</x:v>
      </x:c>
      <x:c r="B309" s="30" t="str"/>
      <x:c r="C309" s="31"/>
      <x:c r="D309" s="30" t="str">
        <x:v>Non vérifié</x:v>
      </x:c>
      <x:c r="E309" s="30" t="str"/>
      <x:c r="F309" s="30" t="str"/>
      <x:c r="G309" s="32" t="str"/>
      <x:c r="H309" s="33" t="str">
        <x:f>IF(I309&lt;&gt;"","Doublon possible","")</x:f>
      </x:c>
      <x:c r="I309" s="33" t="str">
        <x:f>IF(COUNTIFS($Y$9:$Y$678,Y309)&gt;1,"Nom + ville",IF(AND(Z309&lt;&gt;"",COUNTIFS($Z$9:$Z$678,Z309)&gt;1),"Téléphone",IF(AND(AA309&lt;&gt;"",COUNTIFS($AA$9:$AA$678,AA309)&gt;1),"Site web","")))</x:f>
      </x:c>
      <x:c r="J309" s="33" t="str">
        <x:v>Restaurant SansFrancisco</x:v>
      </x:c>
      <x:c r="K309" s="33" t="str">
        <x:v>Restaurants</x:v>
      </x:c>
      <x:c r="L309" s="33" t="str">
        <x:v>Restaurants</x:v>
      </x:c>
      <x:c r="M309" s="33" t="str">
        <x:v>Conakry (à vérifier)</x:v>
      </x:c>
      <x:c r="N309" s="33" t="str"/>
      <x:c r="O309" s="33" t="str"/>
      <x:c r="P309" s="33" t="str">
        <x:v>610107101</x:v>
      </x:c>
      <x:c r="Q309" s="33" t="str"/>
      <x:c r="R309" s="33" t="str"/>
      <x:c r="S309" s="33" t="str"/>
      <x:c r="T309" s="35" t="n">
        <x:v>9.6646992</x:v>
      </x:c>
      <x:c r="U309" s="35" t="n">
        <x:v>-13.5929054</x:v>
      </x:c>
      <x:c r="V309" s="33" t="str">
        <x:v>https://www.openstreetmap.org/node/10024259768</x:v>
      </x:c>
      <x:c r="W309" s="33" t="str">
        <x:v>node/10024259768</x:v>
      </x:c>
      <x:c r="X309" s="33" t="str">
        <x:v>review_required</x:v>
      </x:c>
      <x:c r="Y309" s="33" t="str">
        <x:v>restaurant sansfrancisco|conakry a verifier</x:v>
      </x:c>
      <x:c r="Z309" s="33" t="str">
        <x:v>224610107101</x:v>
      </x:c>
      <x:c r="AA309" s="33" t="str"/>
    </x:row>
    <x:row r="310">
      <x:c r="A310" s="30" t="str">
        <x:v>À vérifier</x:v>
      </x:c>
      <x:c r="B310" s="30" t="str"/>
      <x:c r="C310" s="31"/>
      <x:c r="D310" s="30" t="str">
        <x:v>Non vérifié</x:v>
      </x:c>
      <x:c r="E310" s="30" t="str"/>
      <x:c r="F310" s="30" t="str"/>
      <x:c r="G310" s="32" t="str"/>
      <x:c r="H310" s="33" t="str">
        <x:f>IF(I310&lt;&gt;"","Doublon possible","")</x:f>
      </x:c>
      <x:c r="I310" s="33" t="str">
        <x:f>IF(COUNTIFS($Y$9:$Y$678,Y310)&gt;1,"Nom + ville",IF(AND(Z310&lt;&gt;"",COUNTIFS($Z$9:$Z$678,Z310)&gt;1),"Téléphone",IF(AND(AA310&lt;&gt;"",COUNTIFS($AA$9:$AA$678,AA310)&gt;1),"Site web","")))</x:f>
      </x:c>
      <x:c r="J310" s="33" t="str">
        <x:v>Restaurant Super Délice</x:v>
      </x:c>
      <x:c r="K310" s="33" t="str">
        <x:v>Restaurants</x:v>
      </x:c>
      <x:c r="L310" s="33" t="str">
        <x:v>Restaurants</x:v>
      </x:c>
      <x:c r="M310" s="33" t="str">
        <x:v>Conakry (à vérifier)</x:v>
      </x:c>
      <x:c r="N310" s="33" t="str"/>
      <x:c r="O310" s="33" t="str"/>
      <x:c r="P310" s="33" t="str">
        <x:v>620076135</x:v>
      </x:c>
      <x:c r="Q310" s="33" t="str"/>
      <x:c r="R310" s="33" t="str"/>
      <x:c r="S310" s="33" t="str"/>
      <x:c r="T310" s="35" t="n">
        <x:v>9.615789</x:v>
      </x:c>
      <x:c r="U310" s="35" t="n">
        <x:v>-13.632455</x:v>
      </x:c>
      <x:c r="V310" s="33" t="str">
        <x:v>https://www.openstreetmap.org/node/6562573157</x:v>
      </x:c>
      <x:c r="W310" s="33" t="str">
        <x:v>node/6562573157</x:v>
      </x:c>
      <x:c r="X310" s="33" t="str">
        <x:v>review_required</x:v>
      </x:c>
      <x:c r="Y310" s="33" t="str">
        <x:v>restaurant super delice|conakry a verifier</x:v>
      </x:c>
      <x:c r="Z310" s="33" t="str">
        <x:v>224620076135</x:v>
      </x:c>
      <x:c r="AA310" s="33" t="str"/>
    </x:row>
    <x:row r="311">
      <x:c r="A311" s="30" t="str">
        <x:v>À vérifier</x:v>
      </x:c>
      <x:c r="B311" s="30" t="str"/>
      <x:c r="C311" s="31"/>
      <x:c r="D311" s="30" t="str">
        <x:v>Non vérifié</x:v>
      </x:c>
      <x:c r="E311" s="30" t="str"/>
      <x:c r="F311" s="30" t="str"/>
      <x:c r="G311" s="32" t="str"/>
      <x:c r="H311" s="33" t="str">
        <x:f>IF(I311&lt;&gt;"","Doublon possible","")</x:f>
      </x:c>
      <x:c r="I311" s="33" t="str">
        <x:f>IF(COUNTIFS($Y$9:$Y$678,Y311)&gt;1,"Nom + ville",IF(AND(Z311&lt;&gt;"",COUNTIFS($Z$9:$Z$678,Z311)&gt;1),"Téléphone",IF(AND(AA311&lt;&gt;"",COUNTIFS($AA$9:$AA$678,AA311)&gt;1),"Site web","")))</x:f>
      </x:c>
      <x:c r="J311" s="33" t="str">
        <x:v>Restaurant Togolais Deo Gratias</x:v>
      </x:c>
      <x:c r="K311" s="33" t="str">
        <x:v>Restaurants</x:v>
      </x:c>
      <x:c r="L311" s="33" t="str">
        <x:v>Restaurants</x:v>
      </x:c>
      <x:c r="M311" s="33" t="str">
        <x:v>Conakry (à vérifier)</x:v>
      </x:c>
      <x:c r="N311" s="33" t="str"/>
      <x:c r="O311" s="33" t="str"/>
      <x:c r="P311" s="33" t="str">
        <x:v>664884639</x:v>
      </x:c>
      <x:c r="Q311" s="33" t="str"/>
      <x:c r="R311" s="33" t="str"/>
      <x:c r="S311" s="33" t="str"/>
      <x:c r="T311" s="35" t="n">
        <x:v>9.5822095</x:v>
      </x:c>
      <x:c r="U311" s="35" t="n">
        <x:v>-13.6619967</x:v>
      </x:c>
      <x:c r="V311" s="33" t="str">
        <x:v>https://www.openstreetmap.org/node/6438006760</x:v>
      </x:c>
      <x:c r="W311" s="33" t="str">
        <x:v>node/6438006760</x:v>
      </x:c>
      <x:c r="X311" s="33" t="str">
        <x:v>review_required</x:v>
      </x:c>
      <x:c r="Y311" s="33" t="str">
        <x:v>restaurant togolais deo gratias|conakry a verifier</x:v>
      </x:c>
      <x:c r="Z311" s="33" t="str">
        <x:v>224664884639</x:v>
      </x:c>
      <x:c r="AA311" s="33" t="str"/>
    </x:row>
    <x:row r="312">
      <x:c r="A312" s="30" t="str">
        <x:v>À vérifier</x:v>
      </x:c>
      <x:c r="B312" s="30" t="str"/>
      <x:c r="C312" s="31"/>
      <x:c r="D312" s="30" t="str">
        <x:v>Non vérifié</x:v>
      </x:c>
      <x:c r="E312" s="30" t="str"/>
      <x:c r="F312" s="30" t="str"/>
      <x:c r="G312" s="32" t="str"/>
      <x:c r="H312" s="33" t="str">
        <x:f>IF(I312&lt;&gt;"","Doublon possible","")</x:f>
      </x:c>
      <x:c r="I312" s="33" t="str">
        <x:f>IF(COUNTIFS($Y$9:$Y$678,Y312)&gt;1,"Nom + ville",IF(AND(Z312&lt;&gt;"",COUNTIFS($Z$9:$Z$678,Z312)&gt;1),"Téléphone",IF(AND(AA312&lt;&gt;"",COUNTIFS($AA$9:$AA$678,AA312)&gt;1),"Site web","")))</x:f>
      </x:c>
      <x:c r="J312" s="33" t="str">
        <x:v>Restaurant Twins</x:v>
      </x:c>
      <x:c r="K312" s="33" t="str">
        <x:v>Restaurants</x:v>
      </x:c>
      <x:c r="L312" s="33" t="str">
        <x:v>Restaurants</x:v>
      </x:c>
      <x:c r="M312" s="33" t="str">
        <x:v>Conakry (à vérifier)</x:v>
      </x:c>
      <x:c r="N312" s="33" t="str"/>
      <x:c r="O312" s="33" t="str"/>
      <x:c r="P312" s="33" t="str">
        <x:v>620838366</x:v>
      </x:c>
      <x:c r="Q312" s="33" t="str">
        <x:v>twinsdeen2014@gmail.com</x:v>
      </x:c>
      <x:c r="R312" s="33" t="str"/>
      <x:c r="S312" s="33" t="str"/>
      <x:c r="T312" s="35" t="n">
        <x:v>9.5534411</x:v>
      </x:c>
      <x:c r="U312" s="35" t="n">
        <x:v>-13.6477659</x:v>
      </x:c>
      <x:c r="V312" s="33" t="str">
        <x:v>https://www.openstreetmap.org/node/6181997130</x:v>
      </x:c>
      <x:c r="W312" s="33" t="str">
        <x:v>node/6181997130</x:v>
      </x:c>
      <x:c r="X312" s="33" t="str">
        <x:v>review_required</x:v>
      </x:c>
      <x:c r="Y312" s="33" t="str">
        <x:v>restaurant twins|conakry a verifier</x:v>
      </x:c>
      <x:c r="Z312" s="33" t="str">
        <x:v>224620838366</x:v>
      </x:c>
      <x:c r="AA312" s="33" t="str"/>
    </x:row>
    <x:row r="313">
      <x:c r="A313" s="30" t="str">
        <x:v>À vérifier</x:v>
      </x:c>
      <x:c r="B313" s="30" t="str"/>
      <x:c r="C313" s="31"/>
      <x:c r="D313" s="30" t="str">
        <x:v>Non vérifié</x:v>
      </x:c>
      <x:c r="E313" s="30" t="str"/>
      <x:c r="F313" s="30" t="str"/>
      <x:c r="G313" s="32" t="str"/>
      <x:c r="H313" s="33" t="str">
        <x:f>IF(I313&lt;&gt;"","Doublon possible","")</x:f>
      </x:c>
      <x:c r="I313" s="33" t="str">
        <x:f>IF(COUNTIFS($Y$9:$Y$678,Y313)&gt;1,"Nom + ville",IF(AND(Z313&lt;&gt;"",COUNTIFS($Z$9:$Z$678,Z313)&gt;1),"Téléphone",IF(AND(AA313&lt;&gt;"",COUNTIFS($AA$9:$AA$678,AA313)&gt;1),"Site web","")))</x:f>
      </x:c>
      <x:c r="J313" s="33" t="str">
        <x:v>Restaurant Vietnam HaNoi</x:v>
      </x:c>
      <x:c r="K313" s="33" t="str">
        <x:v>Restaurants</x:v>
      </x:c>
      <x:c r="L313" s="33" t="str">
        <x:v>Restaurants</x:v>
      </x:c>
      <x:c r="M313" s="33" t="str">
        <x:v>Conakry (à vérifier)</x:v>
      </x:c>
      <x:c r="N313" s="33" t="str"/>
      <x:c r="O313" s="33" t="str"/>
      <x:c r="P313" s="33" t="str">
        <x:v>664298299</x:v>
      </x:c>
      <x:c r="Q313" s="33" t="str"/>
      <x:c r="R313" s="33" t="str"/>
      <x:c r="S313" s="33" t="str"/>
      <x:c r="T313" s="35" t="n">
        <x:v>9.526367</x:v>
      </x:c>
      <x:c r="U313" s="35" t="n">
        <x:v>-13.6829239</x:v>
      </x:c>
      <x:c r="V313" s="33" t="str">
        <x:v>https://www.openstreetmap.org/node/8690777791</x:v>
      </x:c>
      <x:c r="W313" s="33" t="str">
        <x:v>node/8690777791</x:v>
      </x:c>
      <x:c r="X313" s="33" t="str">
        <x:v>review_required</x:v>
      </x:c>
      <x:c r="Y313" s="33" t="str">
        <x:v>restaurant vietnam hanoi|conakry a verifier</x:v>
      </x:c>
      <x:c r="Z313" s="33" t="str">
        <x:v>224664298299</x:v>
      </x:c>
      <x:c r="AA313" s="33" t="str"/>
    </x:row>
    <x:row r="314">
      <x:c r="A314" s="30" t="str">
        <x:v>À vérifier</x:v>
      </x:c>
      <x:c r="B314" s="30" t="str"/>
      <x:c r="C314" s="31"/>
      <x:c r="D314" s="30" t="str">
        <x:v>Non vérifié</x:v>
      </x:c>
      <x:c r="E314" s="30" t="str"/>
      <x:c r="F314" s="30" t="str"/>
      <x:c r="G314" s="32" t="str"/>
      <x:c r="H314" s="33" t="str">
        <x:f>IF(I314&lt;&gt;"","Doublon possible","")</x:f>
      </x:c>
      <x:c r="I314" s="33" t="str">
        <x:f>IF(COUNTIFS($Y$9:$Y$678,Y314)&gt;1,"Nom + ville",IF(AND(Z314&lt;&gt;"",COUNTIFS($Z$9:$Z$678,Z314)&gt;1),"Téléphone",IF(AND(AA314&lt;&gt;"",COUNTIFS($AA$9:$AA$678,AA314)&gt;1),"Site web","")))</x:f>
      </x:c>
      <x:c r="J314" s="33" t="str">
        <x:v>RFC Kaloum</x:v>
      </x:c>
      <x:c r="K314" s="33" t="str">
        <x:v>Restaurants</x:v>
      </x:c>
      <x:c r="L314" s="33" t="str">
        <x:v>Restaurants</x:v>
      </x:c>
      <x:c r="M314" s="33" t="str">
        <x:v>Conakry (à vérifier)</x:v>
      </x:c>
      <x:c r="N314" s="33" t="str"/>
      <x:c r="O314" s="33" t="str"/>
      <x:c r="P314" s="33" t="str">
        <x:v>626502579</x:v>
      </x:c>
      <x:c r="Q314" s="33" t="str"/>
      <x:c r="R314" s="33" t="str"/>
      <x:c r="S314" s="33" t="str"/>
      <x:c r="T314" s="35" t="n">
        <x:v>9.5107342</x:v>
      </x:c>
      <x:c r="U314" s="35" t="n">
        <x:v>-13.7060928</x:v>
      </x:c>
      <x:c r="V314" s="33" t="str">
        <x:v>https://www.openstreetmap.org/node/12830560647</x:v>
      </x:c>
      <x:c r="W314" s="33" t="str">
        <x:v>node/12830560647</x:v>
      </x:c>
      <x:c r="X314" s="33" t="str">
        <x:v>review_required</x:v>
      </x:c>
      <x:c r="Y314" s="33" t="str">
        <x:v>rfc kaloum|conakry a verifier</x:v>
      </x:c>
      <x:c r="Z314" s="33" t="str">
        <x:v>224626502579</x:v>
      </x:c>
      <x:c r="AA314" s="33" t="str"/>
    </x:row>
    <x:row r="315">
      <x:c r="A315" s="30" t="str">
        <x:v>À vérifier</x:v>
      </x:c>
      <x:c r="B315" s="30" t="str"/>
      <x:c r="C315" s="31"/>
      <x:c r="D315" s="30" t="str">
        <x:v>Non vérifié</x:v>
      </x:c>
      <x:c r="E315" s="30" t="str"/>
      <x:c r="F315" s="30" t="str"/>
      <x:c r="G315" s="32" t="str"/>
      <x:c r="H315" s="33" t="str">
        <x:f>IF(I315&lt;&gt;"","Doublon possible","")</x:f>
      </x:c>
      <x:c r="I315" s="33" t="str">
        <x:f>IF(COUNTIFS($Y$9:$Y$678,Y315)&gt;1,"Nom + ville",IF(AND(Z315&lt;&gt;"",COUNTIFS($Z$9:$Z$678,Z315)&gt;1),"Téléphone",IF(AND(AA315&lt;&gt;"",COUNTIFS($AA$9:$AA$678,AA315)&gt;1),"Site web","")))</x:f>
      </x:c>
      <x:c r="J315" s="33" t="str">
        <x:v>Rive bleu</x:v>
      </x:c>
      <x:c r="K315" s="33" t="str">
        <x:v>Restaurants</x:v>
      </x:c>
      <x:c r="L315" s="33" t="str">
        <x:v>Restaurants</x:v>
      </x:c>
      <x:c r="M315" s="33" t="str">
        <x:v>Conakry</x:v>
      </x:c>
      <x:c r="N315" s="33" t="str"/>
      <x:c r="O315" s="33" t="str">
        <x:v>Transversale 7</x:v>
      </x:c>
      <x:c r="P315" s="33" t="str">
        <x:v>623276642</x:v>
      </x:c>
      <x:c r="Q315" s="33" t="str"/>
      <x:c r="R315" s="33" t="str"/>
      <x:c r="S315" s="33" t="str"/>
      <x:c r="T315" s="35" t="n">
        <x:v>9.6727255</x:v>
      </x:c>
      <x:c r="U315" s="35" t="n">
        <x:v>-13.5639827</x:v>
      </x:c>
      <x:c r="V315" s="33" t="str">
        <x:v>https://www.openstreetmap.org/way/779962072</x:v>
      </x:c>
      <x:c r="W315" s="33" t="str">
        <x:v>way/779962072</x:v>
      </x:c>
      <x:c r="X315" s="33" t="str">
        <x:v>review_required</x:v>
      </x:c>
      <x:c r="Y315" s="33" t="str">
        <x:v>rive bleu|conakry</x:v>
      </x:c>
      <x:c r="Z315" s="33" t="str">
        <x:v>224623276642</x:v>
      </x:c>
      <x:c r="AA315" s="33" t="str"/>
    </x:row>
    <x:row r="316">
      <x:c r="A316" s="30" t="str">
        <x:v>À vérifier</x:v>
      </x:c>
      <x:c r="B316" s="30" t="str"/>
      <x:c r="C316" s="31"/>
      <x:c r="D316" s="30" t="str">
        <x:v>Non vérifié</x:v>
      </x:c>
      <x:c r="E316" s="30" t="str"/>
      <x:c r="F316" s="30" t="str"/>
      <x:c r="G316" s="32" t="str"/>
      <x:c r="H316" s="33" t="str">
        <x:f>IF(I316&lt;&gt;"","Doublon possible","")</x:f>
        <x:v>Doublon possible</x:v>
      </x:c>
      <x:c r="I316" s="33" t="str">
        <x:f>IF(COUNTIFS($Y$9:$Y$678,Y316)&gt;1,"Nom + ville",IF(AND(Z316&lt;&gt;"",COUNTIFS($Z$9:$Z$678,Z316)&gt;1),"Téléphone",IF(AND(AA316&lt;&gt;"",COUNTIFS($AA$9:$AA$678,AA316)&gt;1),"Site web","")))</x:f>
        <x:v>Nom + ville</x:v>
      </x:c>
      <x:c r="J316" s="33" t="str">
        <x:v>Sky Lounge</x:v>
      </x:c>
      <x:c r="K316" s="33" t="str">
        <x:v>Restaurants</x:v>
      </x:c>
      <x:c r="L316" s="33" t="str">
        <x:v>Restaurants</x:v>
      </x:c>
      <x:c r="M316" s="33" t="str">
        <x:v>Conakry</x:v>
      </x:c>
      <x:c r="N316" s="33" t="str"/>
      <x:c r="O316" s="33" t="str">
        <x:v>J942+6Q5, Conakry, Guinée J942+6Q5, Conakry, Guinée</x:v>
      </x:c>
      <x:c r="P316" s="33" t="str">
        <x:v>+224 628 37 74 53</x:v>
      </x:c>
      <x:c r="Q316" s="33" t="str"/>
      <x:c r="R316" s="33" t="str">
        <x:v>https://www.facebook.com/skyloungekipe?mibextid=LQQJ4d</x:v>
      </x:c>
      <x:c r="S316" s="33" t="str"/>
      <x:c r="T316" s="35" t="n">
        <x:v>9.6054871</x:v>
      </x:c>
      <x:c r="U316" s="35" t="n">
        <x:v>-13.6476692</x:v>
      </x:c>
      <x:c r="V316" s="33" t="str">
        <x:v>https://www.openstreetmap.org/way/558664098</x:v>
      </x:c>
      <x:c r="W316" s="33" t="str">
        <x:v>way/558664098</x:v>
      </x:c>
      <x:c r="X316" s="33" t="str">
        <x:v>review_required</x:v>
      </x:c>
      <x:c r="Y316" s="33" t="str">
        <x:v>sky lounge|conakry</x:v>
      </x:c>
      <x:c r="Z316" s="33" t="str">
        <x:v>224628377453</x:v>
      </x:c>
      <x:c r="AA316" s="33" t="str">
        <x:v>facebook.com/skyloungekipe</x:v>
      </x:c>
    </x:row>
    <x:row r="317">
      <x:c r="A317" s="30" t="str">
        <x:v>À vérifier</x:v>
      </x:c>
      <x:c r="B317" s="30" t="str"/>
      <x:c r="C317" s="31"/>
      <x:c r="D317" s="30" t="str">
        <x:v>Non vérifié</x:v>
      </x:c>
      <x:c r="E317" s="30" t="str"/>
      <x:c r="F317" s="30" t="str"/>
      <x:c r="G317" s="32" t="str"/>
      <x:c r="H317" s="33" t="str">
        <x:f>IF(I317&lt;&gt;"","Doublon possible","")</x:f>
      </x:c>
      <x:c r="I317" s="33" t="str">
        <x:f>IF(COUNTIFS($Y$9:$Y$678,Y317)&gt;1,"Nom + ville",IF(AND(Z317&lt;&gt;"",COUNTIFS($Z$9:$Z$678,Z317)&gt;1),"Téléphone",IF(AND(AA317&lt;&gt;"",COUNTIFS($AA$9:$AA$678,AA317)&gt;1),"Site web","")))</x:f>
      </x:c>
      <x:c r="J317" s="33" t="str">
        <x:v>Snack/bar café Yatt Centre</x:v>
      </x:c>
      <x:c r="K317" s="33" t="str">
        <x:v>Restaurants</x:v>
      </x:c>
      <x:c r="L317" s="33" t="str">
        <x:v>Fast-food</x:v>
      </x:c>
      <x:c r="M317" s="33" t="str">
        <x:v>Conakry (à vérifier)</x:v>
      </x:c>
      <x:c r="N317" s="33" t="str"/>
      <x:c r="O317" s="33" t="str"/>
      <x:c r="P317" s="33" t="str">
        <x:v>+224622029350</x:v>
      </x:c>
      <x:c r="Q317" s="33" t="str"/>
      <x:c r="R317" s="33" t="str"/>
      <x:c r="S317" s="33" t="str"/>
      <x:c r="T317" s="35" t="n">
        <x:v>9.6689355</x:v>
      </x:c>
      <x:c r="U317" s="35" t="n">
        <x:v>-13.5859058</x:v>
      </x:c>
      <x:c r="V317" s="33" t="str">
        <x:v>https://www.openstreetmap.org/node/6042307699</x:v>
      </x:c>
      <x:c r="W317" s="33" t="str">
        <x:v>node/6042307699</x:v>
      </x:c>
      <x:c r="X317" s="33" t="str">
        <x:v>review_required</x:v>
      </x:c>
      <x:c r="Y317" s="33" t="str">
        <x:v>snack bar cafe yatt centre|conakry a verifier</x:v>
      </x:c>
      <x:c r="Z317" s="33" t="str">
        <x:v>224622029350</x:v>
      </x:c>
      <x:c r="AA317" s="33" t="str"/>
    </x:row>
    <x:row r="318">
      <x:c r="A318" s="30" t="str">
        <x:v>À vérifier</x:v>
      </x:c>
      <x:c r="B318" s="30" t="str"/>
      <x:c r="C318" s="31"/>
      <x:c r="D318" s="30" t="str">
        <x:v>Non vérifié</x:v>
      </x:c>
      <x:c r="E318" s="30" t="str"/>
      <x:c r="F318" s="30" t="str"/>
      <x:c r="G318" s="32" t="str"/>
      <x:c r="H318" s="33" t="str">
        <x:f>IF(I318&lt;&gt;"","Doublon possible","")</x:f>
      </x:c>
      <x:c r="I318" s="33" t="str">
        <x:f>IF(COUNTIFS($Y$9:$Y$678,Y318)&gt;1,"Nom + ville",IF(AND(Z318&lt;&gt;"",COUNTIFS($Z$9:$Z$678,Z318)&gt;1),"Téléphone",IF(AND(AA318&lt;&gt;"",COUNTIFS($AA$9:$AA$678,AA318)&gt;1),"Site web","")))</x:f>
      </x:c>
      <x:c r="J318" s="33" t="str">
        <x:v>île des joies</x:v>
      </x:c>
      <x:c r="K318" s="33" t="str">
        <x:v>Restaurants</x:v>
      </x:c>
      <x:c r="L318" s="33" t="str">
        <x:v>Restaurants</x:v>
      </x:c>
      <x:c r="M318" s="33" t="str">
        <x:v>Conakry (à vérifier)</x:v>
      </x:c>
      <x:c r="N318" s="33" t="str"/>
      <x:c r="O318" s="33" t="str">
        <x:v>Corniche Nord</x:v>
      </x:c>
      <x:c r="P318" s="33" t="str">
        <x:v>664385652</x:v>
      </x:c>
      <x:c r="Q318" s="33" t="str"/>
      <x:c r="R318" s="33" t="str"/>
      <x:c r="S318" s="33" t="str"/>
      <x:c r="T318" s="35" t="n">
        <x:v>9.5076134</x:v>
      </x:c>
      <x:c r="U318" s="35" t="n">
        <x:v>-13.7131572</x:v>
      </x:c>
      <x:c r="V318" s="33" t="str">
        <x:v>https://www.openstreetmap.org/node/4441374389</x:v>
      </x:c>
      <x:c r="W318" s="33" t="str">
        <x:v>node/4441374389</x:v>
      </x:c>
      <x:c r="X318" s="33" t="str">
        <x:v>review_required</x:v>
      </x:c>
      <x:c r="Y318" s="33" t="str">
        <x:v>ile des joies|conakry a verifier</x:v>
      </x:c>
      <x:c r="Z318" s="33" t="str">
        <x:v>224664385652</x:v>
      </x:c>
      <x:c r="AA318" s="33" t="str"/>
    </x:row>
    <x:row r="319">
      <x:c r="A319" s="30" t="str">
        <x:v>À vérifier</x:v>
      </x:c>
      <x:c r="B319" s="30" t="str"/>
      <x:c r="C319" s="31"/>
      <x:c r="D319" s="30" t="str">
        <x:v>Non vérifié</x:v>
      </x:c>
      <x:c r="E319" s="30" t="str"/>
      <x:c r="F319" s="30" t="str"/>
      <x:c r="G319" s="32" t="str"/>
      <x:c r="H319" s="33" t="str">
        <x:f>IF(I319&lt;&gt;"","Doublon possible","")</x:f>
      </x:c>
      <x:c r="I319" s="33" t="str">
        <x:f>IF(COUNTIFS($Y$9:$Y$678,Y319)&gt;1,"Nom + ville",IF(AND(Z319&lt;&gt;"",COUNTIFS($Z$9:$Z$678,Z319)&gt;1),"Téléphone",IF(AND(AA319&lt;&gt;"",COUNTIFS($AA$9:$AA$678,AA319)&gt;1),"Site web","")))</x:f>
      </x:c>
      <x:c r="J319" s="33" t="str">
        <x:v>Amina</x:v>
      </x:c>
      <x:c r="K319" s="33" t="str">
        <x:v>Santé</x:v>
      </x:c>
      <x:c r="L319" s="33" t="str">
        <x:v>Pharmacies</x:v>
      </x:c>
      <x:c r="M319" s="33" t="str">
        <x:v>Conakry (à vérifier)</x:v>
      </x:c>
      <x:c r="N319" s="33" t="str"/>
      <x:c r="O319" s="33" t="str"/>
      <x:c r="P319" s="33" t="str">
        <x:v>64322211</x:v>
      </x:c>
      <x:c r="Q319" s="33" t="str"/>
      <x:c r="R319" s="33" t="str"/>
      <x:c r="S319" s="33" t="str"/>
      <x:c r="T319" s="35" t="n">
        <x:v>9.5833946</x:v>
      </x:c>
      <x:c r="U319" s="35" t="n">
        <x:v>-13.6615988</x:v>
      </x:c>
      <x:c r="V319" s="33" t="str">
        <x:v>https://www.openstreetmap.org/node/4758396325</x:v>
      </x:c>
      <x:c r="W319" s="33" t="str">
        <x:v>node/4758396325</x:v>
      </x:c>
      <x:c r="X319" s="33" t="str">
        <x:v>review_required</x:v>
      </x:c>
      <x:c r="Y319" s="33" t="str">
        <x:v>amina|conakry a verifier</x:v>
      </x:c>
      <x:c r="Z319" s="33" t="str">
        <x:v>64322211</x:v>
      </x:c>
      <x:c r="AA319" s="33" t="str"/>
    </x:row>
    <x:row r="320">
      <x:c r="A320" s="30" t="str">
        <x:v>À vérifier</x:v>
      </x:c>
      <x:c r="B320" s="30" t="str"/>
      <x:c r="C320" s="31"/>
      <x:c r="D320" s="30" t="str">
        <x:v>Non vérifié</x:v>
      </x:c>
      <x:c r="E320" s="30" t="str"/>
      <x:c r="F320" s="30" t="str"/>
      <x:c r="G320" s="32" t="str"/>
      <x:c r="H320" s="33" t="str">
        <x:f>IF(I320&lt;&gt;"","Doublon possible","")</x:f>
      </x:c>
      <x:c r="I320" s="33" t="str">
        <x:f>IF(COUNTIFS($Y$9:$Y$678,Y320)&gt;1,"Nom + ville",IF(AND(Z320&lt;&gt;"",COUNTIFS($Z$9:$Z$678,Z320)&gt;1),"Téléphone",IF(AND(AA320&lt;&gt;"",COUNTIFS($AA$9:$AA$678,AA320)&gt;1),"Site web","")))</x:f>
      </x:c>
      <x:c r="J320" s="33" t="str">
        <x:v>Cabinet de soins</x:v>
      </x:c>
      <x:c r="K320" s="33" t="str">
        <x:v>Santé</x:v>
      </x:c>
      <x:c r="L320" s="33" t="str">
        <x:v>Cliniques</x:v>
      </x:c>
      <x:c r="M320" s="33" t="str">
        <x:v>Conakry (à vérifier)</x:v>
      </x:c>
      <x:c r="N320" s="33" t="str"/>
      <x:c r="O320" s="33" t="str"/>
      <x:c r="P320" s="33" t="str">
        <x:v>628922792</x:v>
      </x:c>
      <x:c r="Q320" s="33" t="str"/>
      <x:c r="R320" s="33" t="str"/>
      <x:c r="S320" s="33" t="str"/>
      <x:c r="T320" s="35" t="n">
        <x:v>9.5579936</x:v>
      </x:c>
      <x:c r="U320" s="35" t="n">
        <x:v>-13.6639908</x:v>
      </x:c>
      <x:c r="V320" s="33" t="str">
        <x:v>https://www.openstreetmap.org/node/5489304722</x:v>
      </x:c>
      <x:c r="W320" s="33" t="str">
        <x:v>node/5489304722</x:v>
      </x:c>
      <x:c r="X320" s="33" t="str">
        <x:v>review_required</x:v>
      </x:c>
      <x:c r="Y320" s="33" t="str">
        <x:v>cabinet de soins|conakry a verifier</x:v>
      </x:c>
      <x:c r="Z320" s="33" t="str">
        <x:v>224628922792</x:v>
      </x:c>
      <x:c r="AA320" s="33" t="str"/>
    </x:row>
    <x:row r="321">
      <x:c r="A321" s="30" t="str">
        <x:v>À vérifier</x:v>
      </x:c>
      <x:c r="B321" s="30" t="str"/>
      <x:c r="C321" s="31"/>
      <x:c r="D321" s="30" t="str">
        <x:v>Non vérifié</x:v>
      </x:c>
      <x:c r="E321" s="30" t="str"/>
      <x:c r="F321" s="30" t="str"/>
      <x:c r="G321" s="32" t="str"/>
      <x:c r="H321" s="33" t="str">
        <x:f>IF(I321&lt;&gt;"","Doublon possible","")</x:f>
      </x:c>
      <x:c r="I321" s="33" t="str">
        <x:f>IF(COUNTIFS($Y$9:$Y$678,Y321)&gt;1,"Nom + ville",IF(AND(Z321&lt;&gt;"",COUNTIFS($Z$9:$Z$678,Z321)&gt;1),"Téléphone",IF(AND(AA321&lt;&gt;"",COUNTIFS($AA$9:$AA$678,AA321)&gt;1),"Site web","")))</x:f>
      </x:c>
      <x:c r="J321" s="33" t="str">
        <x:v>Cabinet de soins infirmiers</x:v>
      </x:c>
      <x:c r="K321" s="33" t="str">
        <x:v>Santé</x:v>
      </x:c>
      <x:c r="L321" s="33" t="str">
        <x:v>Cliniques</x:v>
      </x:c>
      <x:c r="M321" s="33" t="str">
        <x:v>Conakry (à vérifier)</x:v>
      </x:c>
      <x:c r="N321" s="33" t="str"/>
      <x:c r="O321" s="33" t="str"/>
      <x:c r="P321" s="33" t="str">
        <x:v>+224623975772</x:v>
      </x:c>
      <x:c r="Q321" s="33" t="str"/>
      <x:c r="R321" s="33" t="str"/>
      <x:c r="S321" s="33" t="str"/>
      <x:c r="T321" s="35" t="n">
        <x:v>9.7138828</x:v>
      </x:c>
      <x:c r="U321" s="35" t="n">
        <x:v>-13.5010601</x:v>
      </x:c>
      <x:c r="V321" s="33" t="str">
        <x:v>https://www.openstreetmap.org/node/5780119263</x:v>
      </x:c>
      <x:c r="W321" s="33" t="str">
        <x:v>node/5780119263</x:v>
      </x:c>
      <x:c r="X321" s="33" t="str">
        <x:v>review_required</x:v>
      </x:c>
      <x:c r="Y321" s="33" t="str">
        <x:v>cabinet de soins infirmiers|conakry a verifier</x:v>
      </x:c>
      <x:c r="Z321" s="33" t="str">
        <x:v>224623975772</x:v>
      </x:c>
      <x:c r="AA321" s="33" t="str"/>
    </x:row>
    <x:row r="322">
      <x:c r="A322" s="30" t="str">
        <x:v>À vérifier</x:v>
      </x:c>
      <x:c r="B322" s="30" t="str"/>
      <x:c r="C322" s="31"/>
      <x:c r="D322" s="30" t="str">
        <x:v>Non vérifié</x:v>
      </x:c>
      <x:c r="E322" s="30" t="str"/>
      <x:c r="F322" s="30" t="str"/>
      <x:c r="G322" s="32" t="str"/>
      <x:c r="H322" s="33" t="str">
        <x:f>IF(I322&lt;&gt;"","Doublon possible","")</x:f>
      </x:c>
      <x:c r="I322" s="33" t="str">
        <x:f>IF(COUNTIFS($Y$9:$Y$678,Y322)&gt;1,"Nom + ville",IF(AND(Z322&lt;&gt;"",COUNTIFS($Z$9:$Z$678,Z322)&gt;1),"Téléphone",IF(AND(AA322&lt;&gt;"",COUNTIFS($AA$9:$AA$678,AA322)&gt;1),"Site web","")))</x:f>
      </x:c>
      <x:c r="J322" s="33" t="str">
        <x:v>Cabinet dentaire</x:v>
      </x:c>
      <x:c r="K322" s="33" t="str">
        <x:v>Santé</x:v>
      </x:c>
      <x:c r="L322" s="33" t="str">
        <x:v>Cliniques</x:v>
      </x:c>
      <x:c r="M322" s="33" t="str">
        <x:v>Conakry (à vérifier)</x:v>
      </x:c>
      <x:c r="N322" s="33" t="str"/>
      <x:c r="O322" s="33" t="str"/>
      <x:c r="P322" s="33" t="str">
        <x:v>620160316</x:v>
      </x:c>
      <x:c r="Q322" s="33" t="str"/>
      <x:c r="R322" s="33" t="str"/>
      <x:c r="S322" s="33" t="str"/>
      <x:c r="T322" s="35" t="n">
        <x:v>9.6246401</x:v>
      </x:c>
      <x:c r="U322" s="35" t="n">
        <x:v>-13.5801149</x:v>
      </x:c>
      <x:c r="V322" s="33" t="str">
        <x:v>https://www.openstreetmap.org/node/5651382692</x:v>
      </x:c>
      <x:c r="W322" s="33" t="str">
        <x:v>node/5651382692</x:v>
      </x:c>
      <x:c r="X322" s="33" t="str">
        <x:v>review_required</x:v>
      </x:c>
      <x:c r="Y322" s="33" t="str">
        <x:v>cabinet dentaire|conakry a verifier</x:v>
      </x:c>
      <x:c r="Z322" s="33" t="str">
        <x:v>224620160316</x:v>
      </x:c>
      <x:c r="AA322" s="33" t="str"/>
    </x:row>
    <x:row r="323">
      <x:c r="A323" s="30" t="str">
        <x:v>À vérifier</x:v>
      </x:c>
      <x:c r="B323" s="30" t="str"/>
      <x:c r="C323" s="31"/>
      <x:c r="D323" s="30" t="str">
        <x:v>Non vérifié</x:v>
      </x:c>
      <x:c r="E323" s="30" t="str"/>
      <x:c r="F323" s="30" t="str"/>
      <x:c r="G323" s="32" t="str"/>
      <x:c r="H323" s="33" t="str">
        <x:f>IF(I323&lt;&gt;"","Doublon possible","")</x:f>
      </x:c>
      <x:c r="I323" s="33" t="str">
        <x:f>IF(COUNTIFS($Y$9:$Y$678,Y323)&gt;1,"Nom + ville",IF(AND(Z323&lt;&gt;"",COUNTIFS($Z$9:$Z$678,Z323)&gt;1),"Téléphone",IF(AND(AA323&lt;&gt;"",COUNTIFS($AA$9:$AA$678,AA323)&gt;1),"Site web","")))</x:f>
      </x:c>
      <x:c r="J323" s="33" t="str">
        <x:v>Cabinet dentaire Km36+</x:v>
      </x:c>
      <x:c r="K323" s="33" t="str">
        <x:v>Santé</x:v>
      </x:c>
      <x:c r="L323" s="33" t="str">
        <x:v>Cliniques</x:v>
      </x:c>
      <x:c r="M323" s="33" t="str">
        <x:v>Conakry (à vérifier)</x:v>
      </x:c>
      <x:c r="N323" s="33" t="str"/>
      <x:c r="O323" s="33" t="str"/>
      <x:c r="P323" s="33" t="str">
        <x:v>+224661566160</x:v>
      </x:c>
      <x:c r="Q323" s="33" t="str"/>
      <x:c r="R323" s="33" t="str"/>
      <x:c r="S323" s="33" t="str"/>
      <x:c r="T323" s="35" t="n">
        <x:v>9.70173</x:v>
      </x:c>
      <x:c r="U323" s="35" t="n">
        <x:v>-13.4978024</x:v>
      </x:c>
      <x:c r="V323" s="33" t="str">
        <x:v>https://www.openstreetmap.org/node/5815790327</x:v>
      </x:c>
      <x:c r="W323" s="33" t="str">
        <x:v>node/5815790327</x:v>
      </x:c>
      <x:c r="X323" s="33" t="str">
        <x:v>review_required</x:v>
      </x:c>
      <x:c r="Y323" s="33" t="str">
        <x:v>cabinet dentaire km36|conakry a verifier</x:v>
      </x:c>
      <x:c r="Z323" s="33" t="str">
        <x:v>224661566160</x:v>
      </x:c>
      <x:c r="AA323" s="33" t="str"/>
    </x:row>
    <x:row r="324">
      <x:c r="A324" s="30" t="str">
        <x:v>À vérifier</x:v>
      </x:c>
      <x:c r="B324" s="30" t="str"/>
      <x:c r="C324" s="31"/>
      <x:c r="D324" s="30" t="str">
        <x:v>Non vérifié</x:v>
      </x:c>
      <x:c r="E324" s="30" t="str"/>
      <x:c r="F324" s="30" t="str"/>
      <x:c r="G324" s="32" t="str"/>
      <x:c r="H324" s="33" t="str">
        <x:f>IF(I324&lt;&gt;"","Doublon possible","")</x:f>
      </x:c>
      <x:c r="I324" s="33" t="str">
        <x:f>IF(COUNTIFS($Y$9:$Y$678,Y324)&gt;1,"Nom + ville",IF(AND(Z324&lt;&gt;"",COUNTIFS($Z$9:$Z$678,Z324)&gt;1),"Téléphone",IF(AND(AA324&lt;&gt;"",COUNTIFS($AA$9:$AA$678,AA324)&gt;1),"Site web","")))</x:f>
      </x:c>
      <x:c r="J324" s="33" t="str">
        <x:v>Cabinet dentaire la providence</x:v>
      </x:c>
      <x:c r="K324" s="33" t="str">
        <x:v>Santé</x:v>
      </x:c>
      <x:c r="L324" s="33" t="str">
        <x:v>Cliniques</x:v>
      </x:c>
      <x:c r="M324" s="33" t="str">
        <x:v>Conakry (à vérifier)</x:v>
      </x:c>
      <x:c r="N324" s="33" t="str"/>
      <x:c r="O324" s="33" t="str"/>
      <x:c r="P324" s="33" t="str">
        <x:v>+224622498933</x:v>
      </x:c>
      <x:c r="Q324" s="33" t="str"/>
      <x:c r="R324" s="33" t="str"/>
      <x:c r="S324" s="33" t="str"/>
      <x:c r="T324" s="35" t="n">
        <x:v>9.5740098</x:v>
      </x:c>
      <x:c r="U324" s="35" t="n">
        <x:v>-13.6564232</x:v>
      </x:c>
      <x:c r="V324" s="33" t="str">
        <x:v>https://www.openstreetmap.org/node/5876406122</x:v>
      </x:c>
      <x:c r="W324" s="33" t="str">
        <x:v>node/5876406122</x:v>
      </x:c>
      <x:c r="X324" s="33" t="str">
        <x:v>review_required</x:v>
      </x:c>
      <x:c r="Y324" s="33" t="str">
        <x:v>cabinet dentaire la providence|conakry a verifier</x:v>
      </x:c>
      <x:c r="Z324" s="33" t="str">
        <x:v>224622498933</x:v>
      </x:c>
      <x:c r="AA324" s="33" t="str"/>
    </x:row>
    <x:row r="325">
      <x:c r="A325" s="30" t="str">
        <x:v>À vérifier</x:v>
      </x:c>
      <x:c r="B325" s="30" t="str"/>
      <x:c r="C325" s="31"/>
      <x:c r="D325" s="30" t="str">
        <x:v>Non vérifié</x:v>
      </x:c>
      <x:c r="E325" s="30" t="str"/>
      <x:c r="F325" s="30" t="str"/>
      <x:c r="G325" s="32" t="str"/>
      <x:c r="H325" s="33" t="str">
        <x:f>IF(I325&lt;&gt;"","Doublon possible","")</x:f>
      </x:c>
      <x:c r="I325" s="33" t="str">
        <x:f>IF(COUNTIFS($Y$9:$Y$678,Y325)&gt;1,"Nom + ville",IF(AND(Z325&lt;&gt;"",COUNTIFS($Z$9:$Z$678,Z325)&gt;1),"Téléphone",IF(AND(AA325&lt;&gt;"",COUNTIFS($AA$9:$AA$678,AA325)&gt;1),"Site web","")))</x:f>
      </x:c>
      <x:c r="J325" s="33" t="str">
        <x:v>Cabinet dentaire le remède</x:v>
      </x:c>
      <x:c r="K325" s="33" t="str">
        <x:v>Santé</x:v>
      </x:c>
      <x:c r="L325" s="33" t="str">
        <x:v>Cliniques</x:v>
      </x:c>
      <x:c r="M325" s="33" t="str">
        <x:v>Conakry (à vérifier)</x:v>
      </x:c>
      <x:c r="N325" s="33" t="str"/>
      <x:c r="O325" s="33" t="str"/>
      <x:c r="P325" s="33" t="str">
        <x:v>622273448</x:v>
      </x:c>
      <x:c r="Q325" s="33" t="str"/>
      <x:c r="R325" s="33" t="str"/>
      <x:c r="S325" s="33" t="str"/>
      <x:c r="T325" s="35" t="n">
        <x:v>9.5826312</x:v>
      </x:c>
      <x:c r="U325" s="35" t="n">
        <x:v>-13.6442526</x:v>
      </x:c>
      <x:c r="V325" s="33" t="str">
        <x:v>https://www.openstreetmap.org/node/5511951114</x:v>
      </x:c>
      <x:c r="W325" s="33" t="str">
        <x:v>node/5511951114</x:v>
      </x:c>
      <x:c r="X325" s="33" t="str">
        <x:v>review_required</x:v>
      </x:c>
      <x:c r="Y325" s="33" t="str">
        <x:v>cabinet dentaire le remede|conakry a verifier</x:v>
      </x:c>
      <x:c r="Z325" s="33" t="str">
        <x:v>224622273448</x:v>
      </x:c>
      <x:c r="AA325" s="33" t="str"/>
    </x:row>
    <x:row r="326">
      <x:c r="A326" s="30" t="str">
        <x:v>À vérifier</x:v>
      </x:c>
      <x:c r="B326" s="30" t="str"/>
      <x:c r="C326" s="31"/>
      <x:c r="D326" s="30" t="str">
        <x:v>Non vérifié</x:v>
      </x:c>
      <x:c r="E326" s="30" t="str"/>
      <x:c r="F326" s="30" t="str"/>
      <x:c r="G326" s="32" t="str"/>
      <x:c r="H326" s="33" t="str">
        <x:f>IF(I326&lt;&gt;"","Doublon possible","")</x:f>
        <x:v>Doublon possible</x:v>
      </x:c>
      <x:c r="I326" s="33" t="str">
        <x:f>IF(COUNTIFS($Y$9:$Y$678,Y326)&gt;1,"Nom + ville",IF(AND(Z326&lt;&gt;"",COUNTIFS($Z$9:$Z$678,Z326)&gt;1),"Téléphone",IF(AND(AA326&lt;&gt;"",COUNTIFS($AA$9:$AA$678,AA326)&gt;1),"Site web","")))</x:f>
        <x:v>Nom + ville</x:v>
      </x:c>
      <x:c r="J326" s="33" t="str">
        <x:v>Cabinet médical</x:v>
      </x:c>
      <x:c r="K326" s="33" t="str">
        <x:v>Santé</x:v>
      </x:c>
      <x:c r="L326" s="33" t="str">
        <x:v>Cliniques</x:v>
      </x:c>
      <x:c r="M326" s="33" t="str">
        <x:v>Conakry (à vérifier)</x:v>
      </x:c>
      <x:c r="N326" s="33" t="str"/>
      <x:c r="O326" s="33" t="str"/>
      <x:c r="P326" s="33" t="str">
        <x:v>+224628738256</x:v>
      </x:c>
      <x:c r="Q326" s="33" t="str"/>
      <x:c r="R326" s="33" t="str"/>
      <x:c r="S326" s="33" t="str"/>
      <x:c r="T326" s="35" t="n">
        <x:v>9.5675233</x:v>
      </x:c>
      <x:c r="U326" s="35" t="n">
        <x:v>-13.6396</x:v>
      </x:c>
      <x:c r="V326" s="33" t="str">
        <x:v>https://www.openstreetmap.org/node/5839093185</x:v>
      </x:c>
      <x:c r="W326" s="33" t="str">
        <x:v>node/5839093185</x:v>
      </x:c>
      <x:c r="X326" s="33" t="str">
        <x:v>review_required</x:v>
      </x:c>
      <x:c r="Y326" s="33" t="str">
        <x:v>cabinet medical|conakry a verifier</x:v>
      </x:c>
      <x:c r="Z326" s="33" t="str">
        <x:v>224628738256</x:v>
      </x:c>
      <x:c r="AA326" s="33" t="str"/>
    </x:row>
    <x:row r="327">
      <x:c r="A327" s="30" t="str">
        <x:v>À vérifier</x:v>
      </x:c>
      <x:c r="B327" s="30" t="str"/>
      <x:c r="C327" s="31"/>
      <x:c r="D327" s="30" t="str">
        <x:v>Non vérifié</x:v>
      </x:c>
      <x:c r="E327" s="30" t="str"/>
      <x:c r="F327" s="30" t="str"/>
      <x:c r="G327" s="32" t="str"/>
      <x:c r="H327" s="33" t="str">
        <x:f>IF(I327&lt;&gt;"","Doublon possible","")</x:f>
      </x:c>
      <x:c r="I327" s="33" t="str">
        <x:f>IF(COUNTIFS($Y$9:$Y$678,Y327)&gt;1,"Nom + ville",IF(AND(Z327&lt;&gt;"",COUNTIFS($Z$9:$Z$678,Z327)&gt;1),"Téléphone",IF(AND(AA327&lt;&gt;"",COUNTIFS($AA$9:$AA$678,AA327)&gt;1),"Site web","")))</x:f>
      </x:c>
      <x:c r="J327" s="33" t="str">
        <x:v>Cabinet médical Ayaye</x:v>
      </x:c>
      <x:c r="K327" s="33" t="str">
        <x:v>Santé</x:v>
      </x:c>
      <x:c r="L327" s="33" t="str">
        <x:v>Cliniques</x:v>
      </x:c>
      <x:c r="M327" s="33" t="str">
        <x:v>Conakry (à vérifier)</x:v>
      </x:c>
      <x:c r="N327" s="33" t="str"/>
      <x:c r="O327" s="33" t="str"/>
      <x:c r="P327" s="33" t="str">
        <x:v>+224621705837</x:v>
      </x:c>
      <x:c r="Q327" s="33" t="str"/>
      <x:c r="R327" s="33" t="str"/>
      <x:c r="S327" s="33" t="str"/>
      <x:c r="T327" s="35" t="n">
        <x:v>9.6354729</x:v>
      </x:c>
      <x:c r="U327" s="35" t="n">
        <x:v>-13.6139444</x:v>
      </x:c>
      <x:c r="V327" s="33" t="str">
        <x:v>https://www.openstreetmap.org/node/6044919222</x:v>
      </x:c>
      <x:c r="W327" s="33" t="str">
        <x:v>node/6044919222</x:v>
      </x:c>
      <x:c r="X327" s="33" t="str">
        <x:v>review_required</x:v>
      </x:c>
      <x:c r="Y327" s="33" t="str">
        <x:v>cabinet medical ayaye|conakry a verifier</x:v>
      </x:c>
      <x:c r="Z327" s="33" t="str">
        <x:v>224621705837</x:v>
      </x:c>
      <x:c r="AA327" s="33" t="str"/>
    </x:row>
    <x:row r="328">
      <x:c r="A328" s="30" t="str">
        <x:v>À vérifier</x:v>
      </x:c>
      <x:c r="B328" s="30" t="str"/>
      <x:c r="C328" s="31"/>
      <x:c r="D328" s="30" t="str">
        <x:v>Non vérifié</x:v>
      </x:c>
      <x:c r="E328" s="30" t="str"/>
      <x:c r="F328" s="30" t="str"/>
      <x:c r="G328" s="32" t="str"/>
      <x:c r="H328" s="33" t="str">
        <x:f>IF(I328&lt;&gt;"","Doublon possible","")</x:f>
      </x:c>
      <x:c r="I328" s="33" t="str">
        <x:f>IF(COUNTIFS($Y$9:$Y$678,Y328)&gt;1,"Nom + ville",IF(AND(Z328&lt;&gt;"",COUNTIFS($Z$9:$Z$678,Z328)&gt;1),"Téléphone",IF(AND(AA328&lt;&gt;"",COUNTIFS($AA$9:$AA$678,AA328)&gt;1),"Site web","")))</x:f>
      </x:c>
      <x:c r="J328" s="33" t="str">
        <x:v>Cabinet médical C'est Dieu qui guérit</x:v>
      </x:c>
      <x:c r="K328" s="33" t="str">
        <x:v>Santé</x:v>
      </x:c>
      <x:c r="L328" s="33" t="str">
        <x:v>Cliniques</x:v>
      </x:c>
      <x:c r="M328" s="33" t="str">
        <x:v>Conakry (à vérifier)</x:v>
      </x:c>
      <x:c r="N328" s="33" t="str"/>
      <x:c r="O328" s="33" t="str"/>
      <x:c r="P328" s="33" t="str">
        <x:v>+224628174652</x:v>
      </x:c>
      <x:c r="Q328" s="33" t="str"/>
      <x:c r="R328" s="33" t="str"/>
      <x:c r="S328" s="33" t="str"/>
      <x:c r="T328" s="35" t="n">
        <x:v>9.6818218</x:v>
      </x:c>
      <x:c r="U328" s="35" t="n">
        <x:v>-13.5579994</x:v>
      </x:c>
      <x:c r="V328" s="33" t="str">
        <x:v>https://www.openstreetmap.org/node/6025418341</x:v>
      </x:c>
      <x:c r="W328" s="33" t="str">
        <x:v>node/6025418341</x:v>
      </x:c>
      <x:c r="X328" s="33" t="str">
        <x:v>review_required</x:v>
      </x:c>
      <x:c r="Y328" s="33" t="str">
        <x:v>cabinet medical c est dieu qui guerit|conakry a verifier</x:v>
      </x:c>
      <x:c r="Z328" s="33" t="str">
        <x:v>224628174652</x:v>
      </x:c>
      <x:c r="AA328" s="33" t="str"/>
    </x:row>
    <x:row r="329">
      <x:c r="A329" s="30" t="str">
        <x:v>À vérifier</x:v>
      </x:c>
      <x:c r="B329" s="30" t="str"/>
      <x:c r="C329" s="31"/>
      <x:c r="D329" s="30" t="str">
        <x:v>Non vérifié</x:v>
      </x:c>
      <x:c r="E329" s="30" t="str"/>
      <x:c r="F329" s="30" t="str"/>
      <x:c r="G329" s="32" t="str"/>
      <x:c r="H329" s="33" t="str">
        <x:f>IF(I329&lt;&gt;"","Doublon possible","")</x:f>
      </x:c>
      <x:c r="I329" s="33" t="str">
        <x:f>IF(COUNTIFS($Y$9:$Y$678,Y329)&gt;1,"Nom + ville",IF(AND(Z329&lt;&gt;"",COUNTIFS($Z$9:$Z$678,Z329)&gt;1),"Téléphone",IF(AND(AA329&lt;&gt;"",COUNTIFS($AA$9:$AA$678,AA329)&gt;1),"Site web","")))</x:f>
      </x:c>
      <x:c r="J329" s="33" t="str">
        <x:v>Cabinet médical CAMARA et frère</x:v>
      </x:c>
      <x:c r="K329" s="33" t="str">
        <x:v>Santé</x:v>
      </x:c>
      <x:c r="L329" s="33" t="str">
        <x:v>Cliniques</x:v>
      </x:c>
      <x:c r="M329" s="33" t="str">
        <x:v>Conakry (à vérifier)</x:v>
      </x:c>
      <x:c r="N329" s="33" t="str"/>
      <x:c r="O329" s="33" t="str"/>
      <x:c r="P329" s="33" t="str">
        <x:v>+224664229857</x:v>
      </x:c>
      <x:c r="Q329" s="33" t="str"/>
      <x:c r="R329" s="33" t="str"/>
      <x:c r="S329" s="33" t="str"/>
      <x:c r="T329" s="35" t="n">
        <x:v>9.6916318</x:v>
      </x:c>
      <x:c r="U329" s="35" t="n">
        <x:v>-13.5094447</x:v>
      </x:c>
      <x:c r="V329" s="33" t="str">
        <x:v>https://www.openstreetmap.org/node/6069053648</x:v>
      </x:c>
      <x:c r="W329" s="33" t="str">
        <x:v>node/6069053648</x:v>
      </x:c>
      <x:c r="X329" s="33" t="str">
        <x:v>review_required</x:v>
      </x:c>
      <x:c r="Y329" s="33" t="str">
        <x:v>cabinet medical camara et frere|conakry a verifier</x:v>
      </x:c>
      <x:c r="Z329" s="33" t="str">
        <x:v>224664229857</x:v>
      </x:c>
      <x:c r="AA329" s="33" t="str"/>
    </x:row>
    <x:row r="330">
      <x:c r="A330" s="30" t="str">
        <x:v>À vérifier</x:v>
      </x:c>
      <x:c r="B330" s="30" t="str"/>
      <x:c r="C330" s="31"/>
      <x:c r="D330" s="30" t="str">
        <x:v>Non vérifié</x:v>
      </x:c>
      <x:c r="E330" s="30" t="str"/>
      <x:c r="F330" s="30" t="str"/>
      <x:c r="G330" s="32" t="str"/>
      <x:c r="H330" s="33" t="str">
        <x:f>IF(I330&lt;&gt;"","Doublon possible","")</x:f>
      </x:c>
      <x:c r="I330" s="33" t="str">
        <x:f>IF(COUNTIFS($Y$9:$Y$678,Y330)&gt;1,"Nom + ville",IF(AND(Z330&lt;&gt;"",COUNTIFS($Z$9:$Z$678,Z330)&gt;1),"Téléphone",IF(AND(AA330&lt;&gt;"",COUNTIFS($AA$9:$AA$678,AA330)&gt;1),"Site web","")))</x:f>
      </x:c>
      <x:c r="J330" s="33" t="str">
        <x:v>Cabinet médical Dabompa Tamisso</x:v>
      </x:c>
      <x:c r="K330" s="33" t="str">
        <x:v>Santé</x:v>
      </x:c>
      <x:c r="L330" s="33" t="str">
        <x:v>Cliniques</x:v>
      </x:c>
      <x:c r="M330" s="33" t="str">
        <x:v>Conakry (à vérifier)</x:v>
      </x:c>
      <x:c r="N330" s="33" t="str"/>
      <x:c r="O330" s="33" t="str"/>
      <x:c r="P330" s="33" t="str">
        <x:v>657517997</x:v>
      </x:c>
      <x:c r="Q330" s="33" t="str"/>
      <x:c r="R330" s="33" t="str"/>
      <x:c r="S330" s="33" t="str"/>
      <x:c r="T330" s="35" t="n">
        <x:v>9.6567279</x:v>
      </x:c>
      <x:c r="U330" s="35" t="n">
        <x:v>-13.5374685</x:v>
      </x:c>
      <x:c r="V330" s="33" t="str">
        <x:v>https://www.openstreetmap.org/node/6893662786</x:v>
      </x:c>
      <x:c r="W330" s="33" t="str">
        <x:v>node/6893662786</x:v>
      </x:c>
      <x:c r="X330" s="33" t="str">
        <x:v>review_required</x:v>
      </x:c>
      <x:c r="Y330" s="33" t="str">
        <x:v>cabinet medical dabompa tamisso|conakry a verifier</x:v>
      </x:c>
      <x:c r="Z330" s="33" t="str">
        <x:v>224657517997</x:v>
      </x:c>
      <x:c r="AA330" s="33" t="str"/>
    </x:row>
    <x:row r="331">
      <x:c r="A331" s="30" t="str">
        <x:v>À vérifier</x:v>
      </x:c>
      <x:c r="B331" s="30" t="str"/>
      <x:c r="C331" s="31"/>
      <x:c r="D331" s="30" t="str">
        <x:v>Non vérifié</x:v>
      </x:c>
      <x:c r="E331" s="30" t="str"/>
      <x:c r="F331" s="30" t="str"/>
      <x:c r="G331" s="32" t="str"/>
      <x:c r="H331" s="33" t="str">
        <x:f>IF(I331&lt;&gt;"","Doublon possible","")</x:f>
      </x:c>
      <x:c r="I331" s="33" t="str">
        <x:f>IF(COUNTIFS($Y$9:$Y$678,Y331)&gt;1,"Nom + ville",IF(AND(Z331&lt;&gt;"",COUNTIFS($Z$9:$Z$678,Z331)&gt;1),"Téléphone",IF(AND(AA331&lt;&gt;"",COUNTIFS($AA$9:$AA$678,AA331)&gt;1),"Site web","")))</x:f>
      </x:c>
      <x:c r="J331" s="33" t="str">
        <x:v>Cabinet médical Dandan</x:v>
      </x:c>
      <x:c r="K331" s="33" t="str">
        <x:v>Santé</x:v>
      </x:c>
      <x:c r="L331" s="33" t="str">
        <x:v>Cliniques</x:v>
      </x:c>
      <x:c r="M331" s="33" t="str">
        <x:v>Conakry (à vérifier)</x:v>
      </x:c>
      <x:c r="N331" s="33" t="str"/>
      <x:c r="O331" s="33" t="str"/>
      <x:c r="P331" s="33" t="str">
        <x:v>628023802</x:v>
      </x:c>
      <x:c r="Q331" s="33" t="str"/>
      <x:c r="R331" s="33" t="str"/>
      <x:c r="S331" s="33" t="str"/>
      <x:c r="T331" s="35" t="n">
        <x:v>9.5506598</x:v>
      </x:c>
      <x:c r="U331" s="35" t="n">
        <x:v>-13.6633875</x:v>
      </x:c>
      <x:c r="V331" s="33" t="str">
        <x:v>https://www.openstreetmap.org/node/7294302610</x:v>
      </x:c>
      <x:c r="W331" s="33" t="str">
        <x:v>node/7294302610</x:v>
      </x:c>
      <x:c r="X331" s="33" t="str">
        <x:v>review_required</x:v>
      </x:c>
      <x:c r="Y331" s="33" t="str">
        <x:v>cabinet medical dandan|conakry a verifier</x:v>
      </x:c>
      <x:c r="Z331" s="33" t="str">
        <x:v>224628023802</x:v>
      </x:c>
      <x:c r="AA331" s="33" t="str"/>
    </x:row>
    <x:row r="332">
      <x:c r="A332" s="30" t="str">
        <x:v>À vérifier</x:v>
      </x:c>
      <x:c r="B332" s="30" t="str"/>
      <x:c r="C332" s="31"/>
      <x:c r="D332" s="30" t="str">
        <x:v>Non vérifié</x:v>
      </x:c>
      <x:c r="E332" s="30" t="str"/>
      <x:c r="F332" s="30" t="str"/>
      <x:c r="G332" s="32" t="str"/>
      <x:c r="H332" s="33" t="str">
        <x:f>IF(I332&lt;&gt;"","Doublon possible","")</x:f>
      </x:c>
      <x:c r="I332" s="33" t="str">
        <x:f>IF(COUNTIFS($Y$9:$Y$678,Y332)&gt;1,"Nom + ville",IF(AND(Z332&lt;&gt;"",COUNTIFS($Z$9:$Z$678,Z332)&gt;1),"Téléphone",IF(AND(AA332&lt;&gt;"",COUNTIFS($AA$9:$AA$678,AA332)&gt;1),"Site web","")))</x:f>
      </x:c>
      <x:c r="J332" s="33" t="str">
        <x:v>Cabinet médical de Gbessia Cité 2</x:v>
      </x:c>
      <x:c r="K332" s="33" t="str">
        <x:v>Santé</x:v>
      </x:c>
      <x:c r="L332" s="33" t="str">
        <x:v>Cliniques</x:v>
      </x:c>
      <x:c r="M332" s="33" t="str">
        <x:v>Conakry (à vérifier)</x:v>
      </x:c>
      <x:c r="N332" s="33" t="str"/>
      <x:c r="O332" s="33" t="str"/>
      <x:c r="P332" s="33" t="str">
        <x:v>+224624373004</x:v>
      </x:c>
      <x:c r="Q332" s="33" t="str"/>
      <x:c r="R332" s="33" t="str"/>
      <x:c r="S332" s="33" t="str"/>
      <x:c r="T332" s="35" t="n">
        <x:v>9.5691833</x:v>
      </x:c>
      <x:c r="U332" s="35" t="n">
        <x:v>-13.63567</x:v>
      </x:c>
      <x:c r="V332" s="33" t="str">
        <x:v>https://www.openstreetmap.org/node/5839090303</x:v>
      </x:c>
      <x:c r="W332" s="33" t="str">
        <x:v>node/5839090303</x:v>
      </x:c>
      <x:c r="X332" s="33" t="str">
        <x:v>review_required</x:v>
      </x:c>
      <x:c r="Y332" s="33" t="str">
        <x:v>cabinet medical de gbessia cite 2|conakry a verifier</x:v>
      </x:c>
      <x:c r="Z332" s="33" t="str">
        <x:v>224624373004</x:v>
      </x:c>
      <x:c r="AA332" s="33" t="str"/>
    </x:row>
    <x:row r="333">
      <x:c r="A333" s="30" t="str">
        <x:v>À vérifier</x:v>
      </x:c>
      <x:c r="B333" s="30" t="str"/>
      <x:c r="C333" s="31"/>
      <x:c r="D333" s="30" t="str">
        <x:v>Non vérifié</x:v>
      </x:c>
      <x:c r="E333" s="30" t="str"/>
      <x:c r="F333" s="30" t="str"/>
      <x:c r="G333" s="32" t="str"/>
      <x:c r="H333" s="33" t="str">
        <x:f>IF(I333&lt;&gt;"","Doublon possible","")</x:f>
      </x:c>
      <x:c r="I333" s="33" t="str">
        <x:f>IF(COUNTIFS($Y$9:$Y$678,Y333)&gt;1,"Nom + ville",IF(AND(Z333&lt;&gt;"",COUNTIFS($Z$9:$Z$678,Z333)&gt;1),"Téléphone",IF(AND(AA333&lt;&gt;"",COUNTIFS($AA$9:$AA$678,AA333)&gt;1),"Site web","")))</x:f>
      </x:c>
      <x:c r="J333" s="33" t="str">
        <x:v>Cabinet médical de proximité</x:v>
      </x:c>
      <x:c r="K333" s="33" t="str">
        <x:v>Santé</x:v>
      </x:c>
      <x:c r="L333" s="33" t="str">
        <x:v>Cliniques</x:v>
      </x:c>
      <x:c r="M333" s="33" t="str">
        <x:v>Conakry (à vérifier)</x:v>
      </x:c>
      <x:c r="N333" s="33" t="str"/>
      <x:c r="O333" s="33" t="str"/>
      <x:c r="P333" s="33" t="str">
        <x:v>+224624952933</x:v>
      </x:c>
      <x:c r="Q333" s="33" t="str"/>
      <x:c r="R333" s="33" t="str"/>
      <x:c r="S333" s="33" t="str"/>
      <x:c r="T333" s="35" t="n">
        <x:v>9.6678679</x:v>
      </x:c>
      <x:c r="U333" s="35" t="n">
        <x:v>-13.5320605</x:v>
      </x:c>
      <x:c r="V333" s="33" t="str">
        <x:v>https://www.openstreetmap.org/node/5994146710</x:v>
      </x:c>
      <x:c r="W333" s="33" t="str">
        <x:v>node/5994146710</x:v>
      </x:c>
      <x:c r="X333" s="33" t="str">
        <x:v>review_required</x:v>
      </x:c>
      <x:c r="Y333" s="33" t="str">
        <x:v>cabinet medical de proximite|conakry a verifier</x:v>
      </x:c>
      <x:c r="Z333" s="33" t="str">
        <x:v>224624952933</x:v>
      </x:c>
      <x:c r="AA333" s="33" t="str"/>
    </x:row>
    <x:row r="334">
      <x:c r="A334" s="30" t="str">
        <x:v>À vérifier</x:v>
      </x:c>
      <x:c r="B334" s="30" t="str"/>
      <x:c r="C334" s="31"/>
      <x:c r="D334" s="30" t="str">
        <x:v>Non vérifié</x:v>
      </x:c>
      <x:c r="E334" s="30" t="str"/>
      <x:c r="F334" s="30" t="str"/>
      <x:c r="G334" s="32" t="str"/>
      <x:c r="H334" s="33" t="str">
        <x:f>IF(I334&lt;&gt;"","Doublon possible","")</x:f>
      </x:c>
      <x:c r="I334" s="33" t="str">
        <x:f>IF(COUNTIFS($Y$9:$Y$678,Y334)&gt;1,"Nom + ville",IF(AND(Z334&lt;&gt;"",COUNTIFS($Z$9:$Z$678,Z334)&gt;1),"Téléphone",IF(AND(AA334&lt;&gt;"",COUNTIFS($AA$9:$AA$678,AA334)&gt;1),"Site web","")))</x:f>
      </x:c>
      <x:c r="J334" s="33" t="str">
        <x:v>Cabinet médical la solidarité</x:v>
      </x:c>
      <x:c r="K334" s="33" t="str">
        <x:v>Santé</x:v>
      </x:c>
      <x:c r="L334" s="33" t="str">
        <x:v>Cliniques</x:v>
      </x:c>
      <x:c r="M334" s="33" t="str">
        <x:v>Conakry (à vérifier)</x:v>
      </x:c>
      <x:c r="N334" s="33" t="str"/>
      <x:c r="O334" s="33" t="str">
        <x:v>MA. 273</x:v>
      </x:c>
      <x:c r="P334" s="33" t="str"/>
      <x:c r="Q334" s="33" t="str"/>
      <x:c r="R334" s="33" t="str"/>
      <x:c r="S334" s="33" t="str"/>
      <x:c r="T334" s="35" t="n">
        <x:v>9.5367959</x:v>
      </x:c>
      <x:c r="U334" s="35" t="n">
        <x:v>-13.671086</x:v>
      </x:c>
      <x:c r="V334" s="33" t="str">
        <x:v>https://www.openstreetmap.org/node/5490812914</x:v>
      </x:c>
      <x:c r="W334" s="33" t="str">
        <x:v>node/5490812914</x:v>
      </x:c>
      <x:c r="X334" s="33" t="str">
        <x:v>review_required</x:v>
      </x:c>
      <x:c r="Y334" s="33" t="str">
        <x:v>cabinet medical la solidarite|conakry a verifier</x:v>
      </x:c>
      <x:c r="Z334" s="33" t="str"/>
      <x:c r="AA334" s="33" t="str"/>
    </x:row>
    <x:row r="335">
      <x:c r="A335" s="30" t="str">
        <x:v>À vérifier</x:v>
      </x:c>
      <x:c r="B335" s="30" t="str"/>
      <x:c r="C335" s="31"/>
      <x:c r="D335" s="30" t="str">
        <x:v>Non vérifié</x:v>
      </x:c>
      <x:c r="E335" s="30" t="str"/>
      <x:c r="F335" s="30" t="str"/>
      <x:c r="G335" s="32" t="str"/>
      <x:c r="H335" s="33" t="str">
        <x:f>IF(I335&lt;&gt;"","Doublon possible","")</x:f>
      </x:c>
      <x:c r="I335" s="33" t="str">
        <x:f>IF(COUNTIFS($Y$9:$Y$678,Y335)&gt;1,"Nom + ville",IF(AND(Z335&lt;&gt;"",COUNTIFS($Z$9:$Z$678,Z335)&gt;1),"Téléphone",IF(AND(AA335&lt;&gt;"",COUNTIFS($AA$9:$AA$678,AA335)&gt;1),"Site web","")))</x:f>
      </x:c>
      <x:c r="J335" s="33" t="str">
        <x:v>Cabinet médical Lansanayah Barrage</x:v>
      </x:c>
      <x:c r="K335" s="33" t="str">
        <x:v>Santé</x:v>
      </x:c>
      <x:c r="L335" s="33" t="str">
        <x:v>Cliniques</x:v>
      </x:c>
      <x:c r="M335" s="33" t="str">
        <x:v>Conakry (à vérifier)</x:v>
      </x:c>
      <x:c r="N335" s="33" t="str"/>
      <x:c r="O335" s="33" t="str"/>
      <x:c r="P335" s="33" t="str">
        <x:v>+224664292854</x:v>
      </x:c>
      <x:c r="Q335" s="33" t="str"/>
      <x:c r="R335" s="33" t="str"/>
      <x:c r="S335" s="33" t="str"/>
      <x:c r="T335" s="35" t="n">
        <x:v>9.6673442</x:v>
      </x:c>
      <x:c r="U335" s="35" t="n">
        <x:v>-13.5241602</x:v>
      </x:c>
      <x:c r="V335" s="33" t="str">
        <x:v>https://www.openstreetmap.org/node/5994146714</x:v>
      </x:c>
      <x:c r="W335" s="33" t="str">
        <x:v>node/5994146714</x:v>
      </x:c>
      <x:c r="X335" s="33" t="str">
        <x:v>review_required</x:v>
      </x:c>
      <x:c r="Y335" s="33" t="str">
        <x:v>cabinet medical lansanayah barrage|conakry a verifier</x:v>
      </x:c>
      <x:c r="Z335" s="33" t="str">
        <x:v>224664292854</x:v>
      </x:c>
      <x:c r="AA335" s="33" t="str"/>
    </x:row>
    <x:row r="336">
      <x:c r="A336" s="30" t="str">
        <x:v>À vérifier</x:v>
      </x:c>
      <x:c r="B336" s="30" t="str"/>
      <x:c r="C336" s="31"/>
      <x:c r="D336" s="30" t="str">
        <x:v>Non vérifié</x:v>
      </x:c>
      <x:c r="E336" s="30" t="str"/>
      <x:c r="F336" s="30" t="str"/>
      <x:c r="G336" s="32" t="str"/>
      <x:c r="H336" s="33" t="str">
        <x:f>IF(I336&lt;&gt;"","Doublon possible","")</x:f>
      </x:c>
      <x:c r="I336" s="33" t="str">
        <x:f>IF(COUNTIFS($Y$9:$Y$678,Y336)&gt;1,"Nom + ville",IF(AND(Z336&lt;&gt;"",COUNTIFS($Z$9:$Z$678,Z336)&gt;1),"Téléphone",IF(AND(AA336&lt;&gt;"",COUNTIFS($AA$9:$AA$678,AA336)&gt;1),"Site web","")))</x:f>
      </x:c>
      <x:c r="J336" s="33" t="str">
        <x:v>Cabinet médical le Séminaire</x:v>
      </x:c>
      <x:c r="K336" s="33" t="str">
        <x:v>Santé</x:v>
      </x:c>
      <x:c r="L336" s="33" t="str">
        <x:v>Cliniques</x:v>
      </x:c>
      <x:c r="M336" s="33" t="str">
        <x:v>Conakry (à vérifier)</x:v>
      </x:c>
      <x:c r="N336" s="33" t="str"/>
      <x:c r="O336" s="33" t="str"/>
      <x:c r="P336" s="33" t="str">
        <x:v>+224620845200</x:v>
      </x:c>
      <x:c r="Q336" s="33" t="str"/>
      <x:c r="R336" s="33" t="str"/>
      <x:c r="S336" s="33" t="str"/>
      <x:c r="T336" s="35" t="n">
        <x:v>9.556127</x:v>
      </x:c>
      <x:c r="U336" s="35" t="n">
        <x:v>-13.6679272</x:v>
      </x:c>
      <x:c r="V336" s="33" t="str">
        <x:v>https://www.openstreetmap.org/node/5970587138</x:v>
      </x:c>
      <x:c r="W336" s="33" t="str">
        <x:v>node/5970587138</x:v>
      </x:c>
      <x:c r="X336" s="33" t="str">
        <x:v>review_required</x:v>
      </x:c>
      <x:c r="Y336" s="33" t="str">
        <x:v>cabinet medical le seminaire|conakry a verifier</x:v>
      </x:c>
      <x:c r="Z336" s="33" t="str">
        <x:v>224620845200</x:v>
      </x:c>
      <x:c r="AA336" s="33" t="str"/>
    </x:row>
    <x:row r="337">
      <x:c r="A337" s="30" t="str">
        <x:v>À vérifier</x:v>
      </x:c>
      <x:c r="B337" s="30" t="str"/>
      <x:c r="C337" s="31"/>
      <x:c r="D337" s="30" t="str">
        <x:v>Non vérifié</x:v>
      </x:c>
      <x:c r="E337" s="30" t="str"/>
      <x:c r="F337" s="30" t="str"/>
      <x:c r="G337" s="32" t="str"/>
      <x:c r="H337" s="33" t="str">
        <x:f>IF(I337&lt;&gt;"","Doublon possible","")</x:f>
      </x:c>
      <x:c r="I337" s="33" t="str">
        <x:f>IF(COUNTIFS($Y$9:$Y$678,Y337)&gt;1,"Nom + ville",IF(AND(Z337&lt;&gt;"",COUNTIFS($Z$9:$Z$678,Z337)&gt;1),"Téléphone",IF(AND(AA337&lt;&gt;"",COUNTIFS($AA$9:$AA$678,AA337)&gt;1),"Site web","")))</x:f>
      </x:c>
      <x:c r="J337" s="33" t="str">
        <x:v>Cabinet médical S.T Louis</x:v>
      </x:c>
      <x:c r="K337" s="33" t="str">
        <x:v>Santé</x:v>
      </x:c>
      <x:c r="L337" s="33" t="str">
        <x:v>Cliniques</x:v>
      </x:c>
      <x:c r="M337" s="33" t="str">
        <x:v>Conakry (à vérifier)</x:v>
      </x:c>
      <x:c r="N337" s="33" t="str"/>
      <x:c r="O337" s="33" t="str"/>
      <x:c r="P337" s="33" t="str">
        <x:v>622936860</x:v>
      </x:c>
      <x:c r="Q337" s="33" t="str"/>
      <x:c r="R337" s="33" t="str"/>
      <x:c r="S337" s="33" t="str"/>
      <x:c r="T337" s="35" t="n">
        <x:v>9.6435537</x:v>
      </x:c>
      <x:c r="U337" s="35" t="n">
        <x:v>-13.5471802</x:v>
      </x:c>
      <x:c r="V337" s="33" t="str">
        <x:v>https://www.openstreetmap.org/node/5511951095</x:v>
      </x:c>
      <x:c r="W337" s="33" t="str">
        <x:v>node/5511951095</x:v>
      </x:c>
      <x:c r="X337" s="33" t="str">
        <x:v>review_required</x:v>
      </x:c>
      <x:c r="Y337" s="33" t="str">
        <x:v>cabinet medical s t louis|conakry a verifier</x:v>
      </x:c>
      <x:c r="Z337" s="33" t="str">
        <x:v>224622936860</x:v>
      </x:c>
      <x:c r="AA337" s="33" t="str"/>
    </x:row>
    <x:row r="338">
      <x:c r="A338" s="30" t="str">
        <x:v>À vérifier</x:v>
      </x:c>
      <x:c r="B338" s="30" t="str"/>
      <x:c r="C338" s="31"/>
      <x:c r="D338" s="30" t="str">
        <x:v>Non vérifié</x:v>
      </x:c>
      <x:c r="E338" s="30" t="str"/>
      <x:c r="F338" s="30" t="str"/>
      <x:c r="G338" s="32" t="str"/>
      <x:c r="H338" s="33" t="str">
        <x:f>IF(I338&lt;&gt;"","Doublon possible","")</x:f>
      </x:c>
      <x:c r="I338" s="33" t="str">
        <x:f>IF(COUNTIFS($Y$9:$Y$678,Y338)&gt;1,"Nom + ville",IF(AND(Z338&lt;&gt;"",COUNTIFS($Z$9:$Z$678,Z338)&gt;1),"Téléphone",IF(AND(AA338&lt;&gt;"",COUNTIFS($AA$9:$AA$678,AA338)&gt;1),"Site web","")))</x:f>
      </x:c>
      <x:c r="J338" s="33" t="str">
        <x:v>CEMECO</x:v>
      </x:c>
      <x:c r="K338" s="33" t="str">
        <x:v>Santé</x:v>
      </x:c>
      <x:c r="L338" s="33" t="str">
        <x:v>Cliniques</x:v>
      </x:c>
      <x:c r="M338" s="33" t="str">
        <x:v>Conakry (à vérifier)</x:v>
      </x:c>
      <x:c r="N338" s="33" t="str"/>
      <x:c r="O338" s="33" t="str">
        <x:v>Kipe Centre émetteur</x:v>
      </x:c>
      <x:c r="P338" s="33" t="str"/>
      <x:c r="Q338" s="33" t="str"/>
      <x:c r="R338" s="33" t="str"/>
      <x:c r="S338" s="33" t="str"/>
      <x:c r="T338" s="35" t="n">
        <x:v>9.6072218</x:v>
      </x:c>
      <x:c r="U338" s="35" t="n">
        <x:v>-13.6481259</x:v>
      </x:c>
      <x:c r="V338" s="33" t="str">
        <x:v>https://www.openstreetmap.org/node/6229473618</x:v>
      </x:c>
      <x:c r="W338" s="33" t="str">
        <x:v>node/6229473618</x:v>
      </x:c>
      <x:c r="X338" s="33" t="str">
        <x:v>review_required</x:v>
      </x:c>
      <x:c r="Y338" s="33" t="str">
        <x:v>cemeco|conakry a verifier</x:v>
      </x:c>
      <x:c r="Z338" s="33" t="str"/>
      <x:c r="AA338" s="33" t="str"/>
    </x:row>
    <x:row r="339">
      <x:c r="A339" s="30" t="str">
        <x:v>À vérifier</x:v>
      </x:c>
      <x:c r="B339" s="30" t="str"/>
      <x:c r="C339" s="31"/>
      <x:c r="D339" s="30" t="str">
        <x:v>Non vérifié</x:v>
      </x:c>
      <x:c r="E339" s="30" t="str"/>
      <x:c r="F339" s="30" t="str"/>
      <x:c r="G339" s="32" t="str"/>
      <x:c r="H339" s="33" t="str">
        <x:f>IF(I339&lt;&gt;"","Doublon possible","")</x:f>
      </x:c>
      <x:c r="I339" s="33" t="str">
        <x:f>IF(COUNTIFS($Y$9:$Y$678,Y339)&gt;1,"Nom + ville",IF(AND(Z339&lt;&gt;"",COUNTIFS($Z$9:$Z$678,Z339)&gt;1),"Téléphone",IF(AND(AA339&lt;&gt;"",COUNTIFS($AA$9:$AA$678,AA339)&gt;1),"Site web","")))</x:f>
      </x:c>
      <x:c r="J339" s="33" t="str">
        <x:v>Centre d'imagerie diagnostique</x:v>
      </x:c>
      <x:c r="K339" s="33" t="str">
        <x:v>Santé</x:v>
      </x:c>
      <x:c r="L339" s="33" t="str">
        <x:v>Cliniques</x:v>
      </x:c>
      <x:c r="M339" s="33" t="str">
        <x:v>Conakry (à vérifier)</x:v>
      </x:c>
      <x:c r="N339" s="33" t="str"/>
      <x:c r="O339" s="33" t="str"/>
      <x:c r="P339" s="33" t="str">
        <x:v>+224621221717</x:v>
      </x:c>
      <x:c r="Q339" s="33" t="str">
        <x:v>cid@capintergn.com</x:v>
      </x:c>
      <x:c r="R339" s="33" t="str">
        <x:v>www.capintergn.com</x:v>
      </x:c>
      <x:c r="S339" s="33" t="str"/>
      <x:c r="T339" s="35" t="n">
        <x:v>9.5084988</x:v>
      </x:c>
      <x:c r="U339" s="35" t="n">
        <x:v>-13.7069345</x:v>
      </x:c>
      <x:c r="V339" s="33" t="str">
        <x:v>https://www.openstreetmap.org/node/5582860056</x:v>
      </x:c>
      <x:c r="W339" s="33" t="str">
        <x:v>node/5582860056</x:v>
      </x:c>
      <x:c r="X339" s="33" t="str">
        <x:v>review_required</x:v>
      </x:c>
      <x:c r="Y339" s="33" t="str">
        <x:v>centre d imagerie diagnostique|conakry a verifier</x:v>
      </x:c>
      <x:c r="Z339" s="33" t="str">
        <x:v>224621221717</x:v>
      </x:c>
      <x:c r="AA339" s="33" t="str">
        <x:v>capintergn.com</x:v>
      </x:c>
    </x:row>
    <x:row r="340">
      <x:c r="A340" s="30" t="str">
        <x:v>À vérifier</x:v>
      </x:c>
      <x:c r="B340" s="30" t="str"/>
      <x:c r="C340" s="31"/>
      <x:c r="D340" s="30" t="str">
        <x:v>Non vérifié</x:v>
      </x:c>
      <x:c r="E340" s="30" t="str"/>
      <x:c r="F340" s="30" t="str"/>
      <x:c r="G340" s="32" t="str"/>
      <x:c r="H340" s="33" t="str">
        <x:f>IF(I340&lt;&gt;"","Doublon possible","")</x:f>
      </x:c>
      <x:c r="I340" s="33" t="str">
        <x:f>IF(COUNTIFS($Y$9:$Y$678,Y340)&gt;1,"Nom + ville",IF(AND(Z340&lt;&gt;"",COUNTIFS($Z$9:$Z$678,Z340)&gt;1),"Téléphone",IF(AND(AA340&lt;&gt;"",COUNTIFS($AA$9:$AA$678,AA340)&gt;1),"Site web","")))</x:f>
      </x:c>
      <x:c r="J340" s="33" t="str">
        <x:v>Centre de Santé Dr André</x:v>
      </x:c>
      <x:c r="K340" s="33" t="str">
        <x:v>Santé</x:v>
      </x:c>
      <x:c r="L340" s="33" t="str">
        <x:v>Cliniques</x:v>
      </x:c>
      <x:c r="M340" s="33" t="str">
        <x:v>Conakry (à vérifier)</x:v>
      </x:c>
      <x:c r="N340" s="33" t="str"/>
      <x:c r="O340" s="33" t="str"/>
      <x:c r="P340" s="33" t="str">
        <x:v>+224666205735</x:v>
      </x:c>
      <x:c r="Q340" s="33" t="str"/>
      <x:c r="R340" s="33" t="str"/>
      <x:c r="S340" s="33" t="str"/>
      <x:c r="T340" s="35" t="n">
        <x:v>9.6828983</x:v>
      </x:c>
      <x:c r="U340" s="35" t="n">
        <x:v>-13.5582133</x:v>
      </x:c>
      <x:c r="V340" s="33" t="str">
        <x:v>https://www.openstreetmap.org/node/5535867299</x:v>
      </x:c>
      <x:c r="W340" s="33" t="str">
        <x:v>node/5535867299</x:v>
      </x:c>
      <x:c r="X340" s="33" t="str">
        <x:v>review_required</x:v>
      </x:c>
      <x:c r="Y340" s="33" t="str">
        <x:v>centre de sante dr andre|conakry a verifier</x:v>
      </x:c>
      <x:c r="Z340" s="33" t="str">
        <x:v>224666205735</x:v>
      </x:c>
      <x:c r="AA340" s="33" t="str"/>
    </x:row>
    <x:row r="341">
      <x:c r="A341" s="30" t="str">
        <x:v>À vérifier</x:v>
      </x:c>
      <x:c r="B341" s="30" t="str"/>
      <x:c r="C341" s="31"/>
      <x:c r="D341" s="30" t="str">
        <x:v>Non vérifié</x:v>
      </x:c>
      <x:c r="E341" s="30" t="str"/>
      <x:c r="F341" s="30" t="str"/>
      <x:c r="G341" s="32" t="str"/>
      <x:c r="H341" s="33" t="str">
        <x:f>IF(I341&lt;&gt;"","Doublon possible","")</x:f>
      </x:c>
      <x:c r="I341" s="33" t="str">
        <x:f>IF(COUNTIFS($Y$9:$Y$678,Y341)&gt;1,"Nom + ville",IF(AND(Z341&lt;&gt;"",COUNTIFS($Z$9:$Z$678,Z341)&gt;1),"Téléphone",IF(AND(AA341&lt;&gt;"",COUNTIFS($AA$9:$AA$678,AA341)&gt;1),"Site web","")))</x:f>
      </x:c>
      <x:c r="J341" s="33" t="str">
        <x:v>Centre Medico Social Hafia Minière (ONG A/SVT)</x:v>
      </x:c>
      <x:c r="K341" s="33" t="str">
        <x:v>Santé</x:v>
      </x:c>
      <x:c r="L341" s="33" t="str">
        <x:v>Cliniques</x:v>
      </x:c>
      <x:c r="M341" s="33" t="str">
        <x:v>Conakry (à vérifier)</x:v>
      </x:c>
      <x:c r="N341" s="33" t="str"/>
      <x:c r="O341" s="33" t="str"/>
      <x:c r="P341" s="33" t="str">
        <x:v>+224624910878</x:v>
      </x:c>
      <x:c r="Q341" s="33" t="str"/>
      <x:c r="R341" s="33" t="str"/>
      <x:c r="S341" s="33" t="str"/>
      <x:c r="T341" s="35" t="n">
        <x:v>9.5647154</x:v>
      </x:c>
      <x:c r="U341" s="35" t="n">
        <x:v>-13.6544583</x:v>
      </x:c>
      <x:c r="V341" s="33" t="str">
        <x:v>https://www.openstreetmap.org/node/5977003710</x:v>
      </x:c>
      <x:c r="W341" s="33" t="str">
        <x:v>node/5977003710</x:v>
      </x:c>
      <x:c r="X341" s="33" t="str">
        <x:v>review_required</x:v>
      </x:c>
      <x:c r="Y341" s="33" t="str">
        <x:v>centre medico social hafia miniere ong a svt|conakry a verifier</x:v>
      </x:c>
      <x:c r="Z341" s="33" t="str">
        <x:v>224624910878</x:v>
      </x:c>
      <x:c r="AA341" s="33" t="str"/>
    </x:row>
    <x:row r="342">
      <x:c r="A342" s="30" t="str">
        <x:v>À vérifier</x:v>
      </x:c>
      <x:c r="B342" s="30" t="str"/>
      <x:c r="C342" s="31"/>
      <x:c r="D342" s="30" t="str">
        <x:v>Non vérifié</x:v>
      </x:c>
      <x:c r="E342" s="30" t="str"/>
      <x:c r="F342" s="30" t="str"/>
      <x:c r="G342" s="32" t="str"/>
      <x:c r="H342" s="33" t="str">
        <x:f>IF(I342&lt;&gt;"","Doublon possible","")</x:f>
      </x:c>
      <x:c r="I342" s="33" t="str">
        <x:f>IF(COUNTIFS($Y$9:$Y$678,Y342)&gt;1,"Nom + ville",IF(AND(Z342&lt;&gt;"",COUNTIFS($Z$9:$Z$678,Z342)&gt;1),"Téléphone",IF(AND(AA342&lt;&gt;"",COUNTIFS($AA$9:$AA$678,AA342)&gt;1),"Site web","")))</x:f>
      </x:c>
      <x:c r="J342" s="33" t="str">
        <x:v>Centre Médical Communal Coléah</x:v>
      </x:c>
      <x:c r="K342" s="33" t="str">
        <x:v>Santé</x:v>
      </x:c>
      <x:c r="L342" s="33" t="str">
        <x:v>Cliniques</x:v>
      </x:c>
      <x:c r="M342" s="33" t="str">
        <x:v>Matam</x:v>
      </x:c>
      <x:c r="N342" s="33" t="str"/>
      <x:c r="O342" s="33" t="str"/>
      <x:c r="P342" s="33" t="str">
        <x:v>+224628142281</x:v>
      </x:c>
      <x:c r="Q342" s="33" t="str"/>
      <x:c r="R342" s="33" t="str"/>
      <x:c r="S342" s="33" t="str"/>
      <x:c r="T342" s="35" t="n">
        <x:v>9.5350831</x:v>
      </x:c>
      <x:c r="U342" s="35" t="n">
        <x:v>-13.6785439</x:v>
      </x:c>
      <x:c r="V342" s="33" t="str">
        <x:v>https://www.openstreetmap.org/node/5525618439</x:v>
      </x:c>
      <x:c r="W342" s="33" t="str">
        <x:v>node/5525618439</x:v>
      </x:c>
      <x:c r="X342" s="33" t="str">
        <x:v>review_required</x:v>
      </x:c>
      <x:c r="Y342" s="33" t="str">
        <x:v>centre medical communal coleah|matam</x:v>
      </x:c>
      <x:c r="Z342" s="33" t="str">
        <x:v>224628142281</x:v>
      </x:c>
      <x:c r="AA342" s="33" t="str"/>
    </x:row>
    <x:row r="343">
      <x:c r="A343" s="30" t="str">
        <x:v>À vérifier</x:v>
      </x:c>
      <x:c r="B343" s="30" t="str"/>
      <x:c r="C343" s="31"/>
      <x:c r="D343" s="30" t="str">
        <x:v>Non vérifié</x:v>
      </x:c>
      <x:c r="E343" s="30" t="str"/>
      <x:c r="F343" s="30" t="str"/>
      <x:c r="G343" s="32" t="str"/>
      <x:c r="H343" s="33" t="str">
        <x:f>IF(I343&lt;&gt;"","Doublon possible","")</x:f>
      </x:c>
      <x:c r="I343" s="33" t="str">
        <x:f>IF(COUNTIFS($Y$9:$Y$678,Y343)&gt;1,"Nom + ville",IF(AND(Z343&lt;&gt;"",COUNTIFS($Z$9:$Z$678,Z343)&gt;1),"Téléphone",IF(AND(AA343&lt;&gt;"",COUNTIFS($AA$9:$AA$678,AA343)&gt;1),"Site web","")))</x:f>
      </x:c>
      <x:c r="J343" s="33" t="str">
        <x:v>Centre médical Espoir Mère et Enfant</x:v>
      </x:c>
      <x:c r="K343" s="33" t="str">
        <x:v>Santé</x:v>
      </x:c>
      <x:c r="L343" s="33" t="str">
        <x:v>Cliniques</x:v>
      </x:c>
      <x:c r="M343" s="33" t="str">
        <x:v>Conakry (à vérifier)</x:v>
      </x:c>
      <x:c r="N343" s="33" t="str"/>
      <x:c r="O343" s="33" t="str"/>
      <x:c r="P343" s="33" t="str">
        <x:v>+224666751190</x:v>
      </x:c>
      <x:c r="Q343" s="33" t="str"/>
      <x:c r="R343" s="33" t="str"/>
      <x:c r="S343" s="33" t="str"/>
      <x:c r="T343" s="35" t="n">
        <x:v>9.5686869</x:v>
      </x:c>
      <x:c r="U343" s="35" t="n">
        <x:v>-13.6566049</x:v>
      </x:c>
      <x:c r="V343" s="33" t="str">
        <x:v>https://www.openstreetmap.org/node/5977004653</x:v>
      </x:c>
      <x:c r="W343" s="33" t="str">
        <x:v>node/5977004653</x:v>
      </x:c>
      <x:c r="X343" s="33" t="str">
        <x:v>review_required</x:v>
      </x:c>
      <x:c r="Y343" s="33" t="str">
        <x:v>centre medical espoir mere et enfant|conakry a verifier</x:v>
      </x:c>
      <x:c r="Z343" s="33" t="str">
        <x:v>224666751190</x:v>
      </x:c>
      <x:c r="AA343" s="33" t="str"/>
    </x:row>
    <x:row r="344">
      <x:c r="A344" s="30" t="str">
        <x:v>À vérifier</x:v>
      </x:c>
      <x:c r="B344" s="30" t="str"/>
      <x:c r="C344" s="31"/>
      <x:c r="D344" s="30" t="str">
        <x:v>Non vérifié</x:v>
      </x:c>
      <x:c r="E344" s="30" t="str"/>
      <x:c r="F344" s="30" t="str"/>
      <x:c r="G344" s="32" t="str"/>
      <x:c r="H344" s="33" t="str">
        <x:f>IF(I344&lt;&gt;"","Doublon possible","")</x:f>
      </x:c>
      <x:c r="I344" s="33" t="str">
        <x:f>IF(COUNTIFS($Y$9:$Y$678,Y344)&gt;1,"Nom + ville",IF(AND(Z344&lt;&gt;"",COUNTIFS($Z$9:$Z$678,Z344)&gt;1),"Téléphone",IF(AND(AA344&lt;&gt;"",COUNTIFS($AA$9:$AA$678,AA344)&gt;1),"Site web","")))</x:f>
      </x:c>
      <x:c r="J344" s="33" t="str">
        <x:v>Centre Médical James Fritz Foster</x:v>
      </x:c>
      <x:c r="K344" s="33" t="str">
        <x:v>Santé</x:v>
      </x:c>
      <x:c r="L344" s="33" t="str">
        <x:v>Cliniques</x:v>
      </x:c>
      <x:c r="M344" s="33" t="str">
        <x:v>Conakry (à vérifier)</x:v>
      </x:c>
      <x:c r="N344" s="33" t="str"/>
      <x:c r="O344" s="33" t="str"/>
      <x:c r="P344" s="33" t="str">
        <x:v>622452249</x:v>
      </x:c>
      <x:c r="Q344" s="33" t="str"/>
      <x:c r="R344" s="33" t="str"/>
      <x:c r="S344" s="33" t="str"/>
      <x:c r="T344" s="35" t="n">
        <x:v>9.5883303</x:v>
      </x:c>
      <x:c r="U344" s="35" t="n">
        <x:v>-13.6310149</x:v>
      </x:c>
      <x:c r="V344" s="33" t="str">
        <x:v>https://www.openstreetmap.org/node/7658309640</x:v>
      </x:c>
      <x:c r="W344" s="33" t="str">
        <x:v>node/7658309640</x:v>
      </x:c>
      <x:c r="X344" s="33" t="str">
        <x:v>review_required</x:v>
      </x:c>
      <x:c r="Y344" s="33" t="str">
        <x:v>centre medical james fritz foster|conakry a verifier</x:v>
      </x:c>
      <x:c r="Z344" s="33" t="str">
        <x:v>224622452249</x:v>
      </x:c>
      <x:c r="AA344" s="33" t="str"/>
    </x:row>
    <x:row r="345">
      <x:c r="A345" s="30" t="str">
        <x:v>À vérifier</x:v>
      </x:c>
      <x:c r="B345" s="30" t="str"/>
      <x:c r="C345" s="31"/>
      <x:c r="D345" s="30" t="str">
        <x:v>Non vérifié</x:v>
      </x:c>
      <x:c r="E345" s="30" t="str"/>
      <x:c r="F345" s="30" t="str"/>
      <x:c r="G345" s="32" t="str"/>
      <x:c r="H345" s="33" t="str">
        <x:f>IF(I345&lt;&gt;"","Doublon possible","")</x:f>
      </x:c>
      <x:c r="I345" s="33" t="str">
        <x:f>IF(COUNTIFS($Y$9:$Y$678,Y345)&gt;1,"Nom + ville",IF(AND(Z345&lt;&gt;"",COUNTIFS($Z$9:$Z$678,Z345)&gt;1),"Téléphone",IF(AND(AA345&lt;&gt;"",COUNTIFS($AA$9:$AA$678,AA345)&gt;1),"Site web","")))</x:f>
      </x:c>
      <x:c r="J345" s="33" t="str">
        <x:v>Centre médical Kondebounyi</x:v>
      </x:c>
      <x:c r="K345" s="33" t="str">
        <x:v>Santé</x:v>
      </x:c>
      <x:c r="L345" s="33" t="str">
        <x:v>Cliniques</x:v>
      </x:c>
      <x:c r="M345" s="33" t="str">
        <x:v>Conakry (à vérifier)</x:v>
      </x:c>
      <x:c r="N345" s="33" t="str"/>
      <x:c r="O345" s="33" t="str"/>
      <x:c r="P345" s="33" t="str">
        <x:v>+224669849201</x:v>
      </x:c>
      <x:c r="Q345" s="33" t="str"/>
      <x:c r="R345" s="33" t="str"/>
      <x:c r="S345" s="33" t="str"/>
      <x:c r="T345" s="35" t="n">
        <x:v>9.6082908</x:v>
      </x:c>
      <x:c r="U345" s="35" t="n">
        <x:v>-13.6002021</x:v>
      </x:c>
      <x:c r="V345" s="33" t="str">
        <x:v>https://www.openstreetmap.org/node/5801150234</x:v>
      </x:c>
      <x:c r="W345" s="33" t="str">
        <x:v>node/5801150234</x:v>
      </x:c>
      <x:c r="X345" s="33" t="str">
        <x:v>review_required</x:v>
      </x:c>
      <x:c r="Y345" s="33" t="str">
        <x:v>centre medical kondebounyi|conakry a verifier</x:v>
      </x:c>
      <x:c r="Z345" s="33" t="str">
        <x:v>224669849201</x:v>
      </x:c>
      <x:c r="AA345" s="33" t="str"/>
    </x:row>
    <x:row r="346">
      <x:c r="A346" s="30" t="str">
        <x:v>À vérifier</x:v>
      </x:c>
      <x:c r="B346" s="30" t="str"/>
      <x:c r="C346" s="31"/>
      <x:c r="D346" s="30" t="str">
        <x:v>Non vérifié</x:v>
      </x:c>
      <x:c r="E346" s="30" t="str"/>
      <x:c r="F346" s="30" t="str"/>
      <x:c r="G346" s="32" t="str"/>
      <x:c r="H346" s="33" t="str">
        <x:f>IF(I346&lt;&gt;"","Doublon possible","")</x:f>
      </x:c>
      <x:c r="I346" s="33" t="str">
        <x:f>IF(COUNTIFS($Y$9:$Y$678,Y346)&gt;1,"Nom + ville",IF(AND(Z346&lt;&gt;"",COUNTIFS($Z$9:$Z$678,Z346)&gt;1),"Téléphone",IF(AND(AA346&lt;&gt;"",COUNTIFS($AA$9:$AA$678,AA346)&gt;1),"Site web","")))</x:f>
      </x:c>
      <x:c r="J346" s="33" t="str">
        <x:v>Centre Médical SOS drepano Guinée</x:v>
      </x:c>
      <x:c r="K346" s="33" t="str">
        <x:v>Santé</x:v>
      </x:c>
      <x:c r="L346" s="33" t="str">
        <x:v>Hôpitaux</x:v>
      </x:c>
      <x:c r="M346" s="33" t="str">
        <x:v>Conakry (à vérifier)</x:v>
      </x:c>
      <x:c r="N346" s="33" t="str"/>
      <x:c r="O346" s="33" t="str"/>
      <x:c r="P346" s="33" t="str">
        <x:v>626565454</x:v>
      </x:c>
      <x:c r="Q346" s="33" t="str"/>
      <x:c r="R346" s="33" t="str"/>
      <x:c r="S346" s="33" t="str"/>
      <x:c r="T346" s="35" t="n">
        <x:v>9.6176492</x:v>
      </x:c>
      <x:c r="U346" s="35" t="n">
        <x:v>-13.6240814</x:v>
      </x:c>
      <x:c r="V346" s="33" t="str">
        <x:v>https://www.openstreetmap.org/way/759134329</x:v>
      </x:c>
      <x:c r="W346" s="33" t="str">
        <x:v>way/759134329</x:v>
      </x:c>
      <x:c r="X346" s="33" t="str">
        <x:v>review_required</x:v>
      </x:c>
      <x:c r="Y346" s="33" t="str">
        <x:v>centre medical sos drepano guinee|conakry a verifier</x:v>
      </x:c>
      <x:c r="Z346" s="33" t="str">
        <x:v>224626565454</x:v>
      </x:c>
      <x:c r="AA346" s="33" t="str"/>
    </x:row>
    <x:row r="347">
      <x:c r="A347" s="30" t="str">
        <x:v>À vérifier</x:v>
      </x:c>
      <x:c r="B347" s="30" t="str"/>
      <x:c r="C347" s="31"/>
      <x:c r="D347" s="30" t="str">
        <x:v>Non vérifié</x:v>
      </x:c>
      <x:c r="E347" s="30" t="str"/>
      <x:c r="F347" s="30" t="str"/>
      <x:c r="G347" s="32" t="str"/>
      <x:c r="H347" s="33" t="str">
        <x:f>IF(I347&lt;&gt;"","Doublon possible","")</x:f>
      </x:c>
      <x:c r="I347" s="33" t="str">
        <x:f>IF(COUNTIFS($Y$9:$Y$678,Y347)&gt;1,"Nom + ville",IF(AND(Z347&lt;&gt;"",COUNTIFS($Z$9:$Z$678,Z347)&gt;1),"Téléphone",IF(AND(AA347&lt;&gt;"",COUNTIFS($AA$9:$AA$678,AA347)&gt;1),"Site web","")))</x:f>
      </x:c>
      <x:c r="J347" s="33" t="str">
        <x:v>Centre médico-sociales DJIGUI-ESPOIR</x:v>
      </x:c>
      <x:c r="K347" s="33" t="str">
        <x:v>Santé</x:v>
      </x:c>
      <x:c r="L347" s="33" t="str">
        <x:v>Hôpitaux</x:v>
      </x:c>
      <x:c r="M347" s="33" t="str">
        <x:v>Conakry (à vérifier)</x:v>
      </x:c>
      <x:c r="N347" s="33" t="str"/>
      <x:c r="O347" s="33" t="str"/>
      <x:c r="P347" s="33" t="str">
        <x:v>+224622683864</x:v>
      </x:c>
      <x:c r="Q347" s="33" t="str"/>
      <x:c r="R347" s="33" t="str"/>
      <x:c r="S347" s="33" t="str"/>
      <x:c r="T347" s="35" t="n">
        <x:v>9.6338362</x:v>
      </x:c>
      <x:c r="U347" s="35" t="n">
        <x:v>-13.5774642</x:v>
      </x:c>
      <x:c r="V347" s="33" t="str">
        <x:v>https://www.openstreetmap.org/way/647048740</x:v>
      </x:c>
      <x:c r="W347" s="33" t="str">
        <x:v>way/647048740</x:v>
      </x:c>
      <x:c r="X347" s="33" t="str">
        <x:v>review_required</x:v>
      </x:c>
      <x:c r="Y347" s="33" t="str">
        <x:v>centre medico sociales djigui espoir|conakry a verifier</x:v>
      </x:c>
      <x:c r="Z347" s="33" t="str">
        <x:v>224622683864</x:v>
      </x:c>
      <x:c r="AA347" s="33" t="str"/>
    </x:row>
    <x:row r="348">
      <x:c r="A348" s="30" t="str">
        <x:v>À vérifier</x:v>
      </x:c>
      <x:c r="B348" s="30" t="str"/>
      <x:c r="C348" s="31"/>
      <x:c r="D348" s="30" t="str">
        <x:v>Non vérifié</x:v>
      </x:c>
      <x:c r="E348" s="30" t="str"/>
      <x:c r="F348" s="30" t="str"/>
      <x:c r="G348" s="32" t="str"/>
      <x:c r="H348" s="33" t="str">
        <x:f>IF(I348&lt;&gt;"","Doublon possible","")</x:f>
      </x:c>
      <x:c r="I348" s="33" t="str">
        <x:f>IF(COUNTIFS($Y$9:$Y$678,Y348)&gt;1,"Nom + ville",IF(AND(Z348&lt;&gt;"",COUNTIFS($Z$9:$Z$678,Z348)&gt;1),"Téléphone",IF(AND(AA348&lt;&gt;"",COUNTIFS($AA$9:$AA$678,AA348)&gt;1),"Site web","")))</x:f>
      </x:c>
      <x:c r="J348" s="33" t="str">
        <x:v>Centre Nabaya</x:v>
      </x:c>
      <x:c r="K348" s="33" t="str">
        <x:v>Santé</x:v>
      </x:c>
      <x:c r="L348" s="33" t="str">
        <x:v>Cliniques</x:v>
      </x:c>
      <x:c r="M348" s="33" t="str">
        <x:v>Conakry (à vérifier)</x:v>
      </x:c>
      <x:c r="N348" s="33" t="str"/>
      <x:c r="O348" s="33" t="str">
        <x:v>transversal 9</x:v>
      </x:c>
      <x:c r="P348" s="33" t="str"/>
      <x:c r="Q348" s="33" t="str"/>
      <x:c r="R348" s="33" t="str"/>
      <x:c r="S348" s="33" t="str"/>
      <x:c r="T348" s="35" t="n">
        <x:v>9.6906766</x:v>
      </x:c>
      <x:c r="U348" s="35" t="n">
        <x:v>-13.5325404</x:v>
      </x:c>
      <x:c r="V348" s="33" t="str">
        <x:v>https://www.openstreetmap.org/node/7325148536</x:v>
      </x:c>
      <x:c r="W348" s="33" t="str">
        <x:v>node/7325148536</x:v>
      </x:c>
      <x:c r="X348" s="33" t="str">
        <x:v>review_required</x:v>
      </x:c>
      <x:c r="Y348" s="33" t="str">
        <x:v>centre nabaya|conakry a verifier</x:v>
      </x:c>
      <x:c r="Z348" s="33" t="str"/>
      <x:c r="AA348" s="33" t="str"/>
    </x:row>
    <x:row r="349">
      <x:c r="A349" s="30" t="str">
        <x:v>À vérifier</x:v>
      </x:c>
      <x:c r="B349" s="30" t="str"/>
      <x:c r="C349" s="31"/>
      <x:c r="D349" s="30" t="str">
        <x:v>Non vérifié</x:v>
      </x:c>
      <x:c r="E349" s="30" t="str"/>
      <x:c r="F349" s="30" t="str"/>
      <x:c r="G349" s="32" t="str"/>
      <x:c r="H349" s="33" t="str">
        <x:f>IF(I349&lt;&gt;"","Doublon possible","")</x:f>
      </x:c>
      <x:c r="I349" s="33" t="str">
        <x:f>IF(COUNTIFS($Y$9:$Y$678,Y349)&gt;1,"Nom + ville",IF(AND(Z349&lt;&gt;"",COUNTIFS($Z$9:$Z$678,Z349)&gt;1),"Téléphone",IF(AND(AA349&lt;&gt;"",COUNTIFS($AA$9:$AA$678,AA349)&gt;1),"Site web","")))</x:f>
      </x:c>
      <x:c r="J349" s="33" t="str">
        <x:v>Chez Madame Doumbouya Nanténen Doukouré</x:v>
      </x:c>
      <x:c r="K349" s="33" t="str">
        <x:v>Santé</x:v>
      </x:c>
      <x:c r="L349" s="33" t="str">
        <x:v>Pharmacies</x:v>
      </x:c>
      <x:c r="M349" s="33" t="str">
        <x:v>Conakry (à vérifier)</x:v>
      </x:c>
      <x:c r="N349" s="33" t="str"/>
      <x:c r="O349" s="33" t="str"/>
      <x:c r="P349" s="33" t="str">
        <x:v>+224 622626339</x:v>
      </x:c>
      <x:c r="Q349" s="33" t="str"/>
      <x:c r="R349" s="33" t="str"/>
      <x:c r="S349" s="33" t="str"/>
      <x:c r="T349" s="35" t="n">
        <x:v>9.5756535</x:v>
      </x:c>
      <x:c r="U349" s="35" t="n">
        <x:v>-13.6205638</x:v>
      </x:c>
      <x:c r="V349" s="33" t="str">
        <x:v>https://www.openstreetmap.org/node/5941370529</x:v>
      </x:c>
      <x:c r="W349" s="33" t="str">
        <x:v>node/5941370529</x:v>
      </x:c>
      <x:c r="X349" s="33" t="str">
        <x:v>review_required</x:v>
      </x:c>
      <x:c r="Y349" s="33" t="str">
        <x:v>chez madame doumbouya nantenen doukoure|conakry a verifier</x:v>
      </x:c>
      <x:c r="Z349" s="33" t="str">
        <x:v>224622626339</x:v>
      </x:c>
      <x:c r="AA349" s="33" t="str"/>
    </x:row>
    <x:row r="350">
      <x:c r="A350" s="30" t="str">
        <x:v>À vérifier</x:v>
      </x:c>
      <x:c r="B350" s="30" t="str"/>
      <x:c r="C350" s="31"/>
      <x:c r="D350" s="30" t="str">
        <x:v>Non vérifié</x:v>
      </x:c>
      <x:c r="E350" s="30" t="str"/>
      <x:c r="F350" s="30" t="str"/>
      <x:c r="G350" s="32" t="str"/>
      <x:c r="H350" s="33" t="str">
        <x:f>IF(I350&lt;&gt;"","Doublon possible","")</x:f>
      </x:c>
      <x:c r="I350" s="33" t="str">
        <x:f>IF(COUNTIFS($Y$9:$Y$678,Y350)&gt;1,"Nom + ville",IF(AND(Z350&lt;&gt;"",COUNTIFS($Z$9:$Z$678,Z350)&gt;1),"Téléphone",IF(AND(AA350&lt;&gt;"",COUNTIFS($AA$9:$AA$678,AA350)&gt;1),"Site web","")))</x:f>
      </x:c>
      <x:c r="J350" s="33" t="str">
        <x:v>Clinique Ako</x:v>
      </x:c>
      <x:c r="K350" s="33" t="str">
        <x:v>Santé</x:v>
      </x:c>
      <x:c r="L350" s="33" t="str">
        <x:v>Cliniques</x:v>
      </x:c>
      <x:c r="M350" s="33" t="str">
        <x:v>Conakry (à vérifier)</x:v>
      </x:c>
      <x:c r="N350" s="33" t="str"/>
      <x:c r="O350" s="33" t="str"/>
      <x:c r="P350" s="33" t="str">
        <x:v>629373232</x:v>
      </x:c>
      <x:c r="Q350" s="33" t="str">
        <x:v>cliniqueakoratoma16@gmail.com</x:v>
      </x:c>
      <x:c r="R350" s="33" t="str"/>
      <x:c r="S350" s="33" t="str"/>
      <x:c r="T350" s="35" t="n">
        <x:v>9.5898702</x:v>
      </x:c>
      <x:c r="U350" s="35" t="n">
        <x:v>-13.6565166</x:v>
      </x:c>
      <x:c r="V350" s="33" t="str">
        <x:v>https://www.openstreetmap.org/node/6307943896</x:v>
      </x:c>
      <x:c r="W350" s="33" t="str">
        <x:v>node/6307943896</x:v>
      </x:c>
      <x:c r="X350" s="33" t="str">
        <x:v>review_required</x:v>
      </x:c>
      <x:c r="Y350" s="33" t="str">
        <x:v>clinique ako|conakry a verifier</x:v>
      </x:c>
      <x:c r="Z350" s="33" t="str">
        <x:v>224629373232</x:v>
      </x:c>
      <x:c r="AA350" s="33" t="str"/>
    </x:row>
    <x:row r="351">
      <x:c r="A351" s="30" t="str">
        <x:v>À vérifier</x:v>
      </x:c>
      <x:c r="B351" s="30" t="str"/>
      <x:c r="C351" s="31"/>
      <x:c r="D351" s="30" t="str">
        <x:v>Non vérifié</x:v>
      </x:c>
      <x:c r="E351" s="30" t="str"/>
      <x:c r="F351" s="30" t="str"/>
      <x:c r="G351" s="32" t="str"/>
      <x:c r="H351" s="33" t="str">
        <x:f>IF(I351&lt;&gt;"","Doublon possible","")</x:f>
      </x:c>
      <x:c r="I351" s="33" t="str">
        <x:f>IF(COUNTIFS($Y$9:$Y$678,Y351)&gt;1,"Nom + ville",IF(AND(Z351&lt;&gt;"",COUNTIFS($Z$9:$Z$678,Z351)&gt;1),"Téléphone",IF(AND(AA351&lt;&gt;"",COUNTIFS($AA$9:$AA$678,AA351)&gt;1),"Site web","")))</x:f>
      </x:c>
      <x:c r="J351" s="33" t="str">
        <x:v>Clinique Ambroise Paré</x:v>
      </x:c>
      <x:c r="K351" s="33" t="str">
        <x:v>Santé</x:v>
      </x:c>
      <x:c r="L351" s="33" t="str">
        <x:v>Hôpitaux</x:v>
      </x:c>
      <x:c r="M351" s="33" t="str">
        <x:v>Conakry (à vérifier)</x:v>
      </x:c>
      <x:c r="N351" s="33" t="str"/>
      <x:c r="O351" s="33" t="str"/>
      <x:c r="P351" s="33" t="str">
        <x:v>+224 631 40 10 40;+224 664 68 57 11</x:v>
      </x:c>
      <x:c r="Q351" s="33" t="str"/>
      <x:c r="R351" s="33" t="str">
        <x:v>http://cliniqueambroisepare.com/</x:v>
      </x:c>
      <x:c r="S351" s="33" t="str"/>
      <x:c r="T351" s="35" t="n">
        <x:v>9.5294758</x:v>
      </x:c>
      <x:c r="U351" s="35" t="n">
        <x:v>-13.6901146</x:v>
      </x:c>
      <x:c r="V351" s="33" t="str">
        <x:v>https://www.openstreetmap.org/way/291396458</x:v>
      </x:c>
      <x:c r="W351" s="33" t="str">
        <x:v>way/291396458</x:v>
      </x:c>
      <x:c r="X351" s="33" t="str">
        <x:v>review_required</x:v>
      </x:c>
      <x:c r="Y351" s="33" t="str">
        <x:v>clinique ambroise pare|conakry a verifier</x:v>
      </x:c>
      <x:c r="Z351" s="33" t="str">
        <x:v>224631401040224664685711</x:v>
      </x:c>
      <x:c r="AA351" s="33" t="str">
        <x:v>cliniqueambroisepare.com</x:v>
      </x:c>
    </x:row>
    <x:row r="352">
      <x:c r="A352" s="30" t="str">
        <x:v>À vérifier</x:v>
      </x:c>
      <x:c r="B352" s="30" t="str"/>
      <x:c r="C352" s="31"/>
      <x:c r="D352" s="30" t="str">
        <x:v>Non vérifié</x:v>
      </x:c>
      <x:c r="E352" s="30" t="str"/>
      <x:c r="F352" s="30" t="str"/>
      <x:c r="G352" s="32" t="str"/>
      <x:c r="H352" s="33" t="str">
        <x:f>IF(I352&lt;&gt;"","Doublon possible","")</x:f>
      </x:c>
      <x:c r="I352" s="33" t="str">
        <x:f>IF(COUNTIFS($Y$9:$Y$678,Y352)&gt;1,"Nom + ville",IF(AND(Z352&lt;&gt;"",COUNTIFS($Z$9:$Z$678,Z352)&gt;1),"Téléphone",IF(AND(AA352&lt;&gt;"",COUNTIFS($AA$9:$AA$678,AA352)&gt;1),"Site web","")))</x:f>
      </x:c>
      <x:c r="J352" s="33" t="str">
        <x:v>Clinique Avicienne</x:v>
      </x:c>
      <x:c r="K352" s="33" t="str">
        <x:v>Santé</x:v>
      </x:c>
      <x:c r="L352" s="33" t="str">
        <x:v>Cliniques</x:v>
      </x:c>
      <x:c r="M352" s="33" t="str">
        <x:v>Conakry (à vérifier)</x:v>
      </x:c>
      <x:c r="N352" s="33" t="str"/>
      <x:c r="O352" s="33" t="str"/>
      <x:c r="P352" s="33" t="str">
        <x:v>+224621599235</x:v>
      </x:c>
      <x:c r="Q352" s="33" t="str">
        <x:v>cliniqueavicienneyattaya@gmail.com</x:v>
      </x:c>
      <x:c r="R352" s="33" t="str"/>
      <x:c r="S352" s="33" t="str"/>
      <x:c r="T352" s="35" t="n">
        <x:v>9.6679814</x:v>
      </x:c>
      <x:c r="U352" s="35" t="n">
        <x:v>-13.5865385</x:v>
      </x:c>
      <x:c r="V352" s="33" t="str">
        <x:v>https://www.openstreetmap.org/node/6042307567</x:v>
      </x:c>
      <x:c r="W352" s="33" t="str">
        <x:v>node/6042307567</x:v>
      </x:c>
      <x:c r="X352" s="33" t="str">
        <x:v>review_required</x:v>
      </x:c>
      <x:c r="Y352" s="33" t="str">
        <x:v>clinique avicienne|conakry a verifier</x:v>
      </x:c>
      <x:c r="Z352" s="33" t="str">
        <x:v>224621599235</x:v>
      </x:c>
      <x:c r="AA352" s="33" t="str"/>
    </x:row>
    <x:row r="353">
      <x:c r="A353" s="30" t="str">
        <x:v>À vérifier</x:v>
      </x:c>
      <x:c r="B353" s="30" t="str"/>
      <x:c r="C353" s="31"/>
      <x:c r="D353" s="30" t="str">
        <x:v>Non vérifié</x:v>
      </x:c>
      <x:c r="E353" s="30" t="str"/>
      <x:c r="F353" s="30" t="str"/>
      <x:c r="G353" s="32" t="str"/>
      <x:c r="H353" s="33" t="str">
        <x:f>IF(I353&lt;&gt;"","Doublon possible","")</x:f>
      </x:c>
      <x:c r="I353" s="33" t="str">
        <x:f>IF(COUNTIFS($Y$9:$Y$678,Y353)&gt;1,"Nom + ville",IF(AND(Z353&lt;&gt;"",COUNTIFS($Z$9:$Z$678,Z353)&gt;1),"Téléphone",IF(AND(AA353&lt;&gt;"",COUNTIFS($AA$9:$AA$678,AA353)&gt;1),"Site web","")))</x:f>
      </x:c>
      <x:c r="J353" s="33" t="str">
        <x:v>Clinique Balley</x:v>
      </x:c>
      <x:c r="K353" s="33" t="str">
        <x:v>Santé</x:v>
      </x:c>
      <x:c r="L353" s="33" t="str">
        <x:v>Cliniques</x:v>
      </x:c>
      <x:c r="M353" s="33" t="str">
        <x:v>Conakry (à vérifier)</x:v>
      </x:c>
      <x:c r="N353" s="33" t="str"/>
      <x:c r="O353" s="33" t="str"/>
      <x:c r="P353" s="33" t="str">
        <x:v>624032121</x:v>
      </x:c>
      <x:c r="Q353" s="33" t="str">
        <x:v>cliniqueballey@gmail.com</x:v>
      </x:c>
      <x:c r="R353" s="33" t="str"/>
      <x:c r="S353" s="33" t="str"/>
      <x:c r="T353" s="35" t="n">
        <x:v>9.7138458</x:v>
      </x:c>
      <x:c r="U353" s="35" t="n">
        <x:v>-13.5043383</x:v>
      </x:c>
      <x:c r="V353" s="33" t="str">
        <x:v>https://www.openstreetmap.org/node/13818482884</x:v>
      </x:c>
      <x:c r="W353" s="33" t="str">
        <x:v>node/13818482884</x:v>
      </x:c>
      <x:c r="X353" s="33" t="str">
        <x:v>review_required</x:v>
      </x:c>
      <x:c r="Y353" s="33" t="str">
        <x:v>clinique balley|conakry a verifier</x:v>
      </x:c>
      <x:c r="Z353" s="33" t="str">
        <x:v>224624032121</x:v>
      </x:c>
      <x:c r="AA353" s="33" t="str"/>
    </x:row>
    <x:row r="354">
      <x:c r="A354" s="30" t="str">
        <x:v>À vérifier</x:v>
      </x:c>
      <x:c r="B354" s="30" t="str"/>
      <x:c r="C354" s="31"/>
      <x:c r="D354" s="30" t="str">
        <x:v>Non vérifié</x:v>
      </x:c>
      <x:c r="E354" s="30" t="str"/>
      <x:c r="F354" s="30" t="str"/>
      <x:c r="G354" s="32" t="str"/>
      <x:c r="H354" s="33" t="str">
        <x:f>IF(I354&lt;&gt;"","Doublon possible","")</x:f>
      </x:c>
      <x:c r="I354" s="33" t="str">
        <x:f>IF(COUNTIFS($Y$9:$Y$678,Y354)&gt;1,"Nom + ville",IF(AND(Z354&lt;&gt;"",COUNTIFS($Z$9:$Z$678,Z354)&gt;1),"Téléphone",IF(AND(AA354&lt;&gt;"",COUNTIFS($AA$9:$AA$678,AA354)&gt;1),"Site web","")))</x:f>
      </x:c>
      <x:c r="J354" s="33" t="str">
        <x:v>Clinique Bleue</x:v>
      </x:c>
      <x:c r="K354" s="33" t="str">
        <x:v>Santé</x:v>
      </x:c>
      <x:c r="L354" s="33" t="str">
        <x:v>Cliniques</x:v>
      </x:c>
      <x:c r="M354" s="33" t="str">
        <x:v>Conakry (à vérifier)</x:v>
      </x:c>
      <x:c r="N354" s="33" t="str"/>
      <x:c r="O354" s="33" t="str"/>
      <x:c r="P354" s="33" t="str">
        <x:v>624825284</x:v>
      </x:c>
      <x:c r="Q354" s="33" t="str"/>
      <x:c r="R354" s="33" t="str"/>
      <x:c r="S354" s="33" t="str"/>
      <x:c r="T354" s="35" t="n">
        <x:v>9.7081845</x:v>
      </x:c>
      <x:c r="U354" s="35" t="n">
        <x:v>-13.4874885</x:v>
      </x:c>
      <x:c r="V354" s="33" t="str">
        <x:v>https://www.openstreetmap.org/node/13812241200</x:v>
      </x:c>
      <x:c r="W354" s="33" t="str">
        <x:v>node/13812241200</x:v>
      </x:c>
      <x:c r="X354" s="33" t="str">
        <x:v>review_required</x:v>
      </x:c>
      <x:c r="Y354" s="33" t="str">
        <x:v>clinique bleue|conakry a verifier</x:v>
      </x:c>
      <x:c r="Z354" s="33" t="str">
        <x:v>224624825284</x:v>
      </x:c>
      <x:c r="AA354" s="33" t="str"/>
    </x:row>
    <x:row r="355">
      <x:c r="A355" s="30" t="str">
        <x:v>À vérifier</x:v>
      </x:c>
      <x:c r="B355" s="30" t="str"/>
      <x:c r="C355" s="31"/>
      <x:c r="D355" s="30" t="str">
        <x:v>Non vérifié</x:v>
      </x:c>
      <x:c r="E355" s="30" t="str"/>
      <x:c r="F355" s="30" t="str"/>
      <x:c r="G355" s="32" t="str"/>
      <x:c r="H355" s="33" t="str">
        <x:f>IF(I355&lt;&gt;"","Doublon possible","")</x:f>
      </x:c>
      <x:c r="I355" s="33" t="str">
        <x:f>IF(COUNTIFS($Y$9:$Y$678,Y355)&gt;1,"Nom + ville",IF(AND(Z355&lt;&gt;"",COUNTIFS($Z$9:$Z$678,Z355)&gt;1),"Téléphone",IF(AND(AA355&lt;&gt;"",COUNTIFS($AA$9:$AA$678,AA355)&gt;1),"Site web","")))</x:f>
      </x:c>
      <x:c r="J355" s="33" t="str">
        <x:v>Clinique Dr Haidara</x:v>
      </x:c>
      <x:c r="K355" s="33" t="str">
        <x:v>Santé</x:v>
      </x:c>
      <x:c r="L355" s="33" t="str">
        <x:v>Cliniques</x:v>
      </x:c>
      <x:c r="M355" s="33" t="str">
        <x:v>Conakry (à vérifier)</x:v>
      </x:c>
      <x:c r="N355" s="33" t="str"/>
      <x:c r="O355" s="33" t="str">
        <x:v>Doumoudoula plateau</x:v>
      </x:c>
      <x:c r="P355" s="33" t="str"/>
      <x:c r="Q355" s="33" t="str"/>
      <x:c r="R355" s="33" t="str"/>
      <x:c r="S355" s="33" t="str"/>
      <x:c r="T355" s="35" t="n">
        <x:v>9.6045845</x:v>
      </x:c>
      <x:c r="U355" s="35" t="n">
        <x:v>-13.6308423</x:v>
      </x:c>
      <x:c r="V355" s="33" t="str">
        <x:v>https://www.openstreetmap.org/node/9352933317</x:v>
      </x:c>
      <x:c r="W355" s="33" t="str">
        <x:v>node/9352933317</x:v>
      </x:c>
      <x:c r="X355" s="33" t="str">
        <x:v>review_required</x:v>
      </x:c>
      <x:c r="Y355" s="33" t="str">
        <x:v>clinique dr haidara|conakry a verifier</x:v>
      </x:c>
      <x:c r="Z355" s="33" t="str"/>
      <x:c r="AA355" s="33" t="str"/>
    </x:row>
    <x:row r="356">
      <x:c r="A356" s="30" t="str">
        <x:v>À vérifier</x:v>
      </x:c>
      <x:c r="B356" s="30" t="str"/>
      <x:c r="C356" s="31"/>
      <x:c r="D356" s="30" t="str">
        <x:v>Non vérifié</x:v>
      </x:c>
      <x:c r="E356" s="30" t="str"/>
      <x:c r="F356" s="30" t="str"/>
      <x:c r="G356" s="32" t="str"/>
      <x:c r="H356" s="33" t="str">
        <x:f>IF(I356&lt;&gt;"","Doublon possible","")</x:f>
      </x:c>
      <x:c r="I356" s="33" t="str">
        <x:f>IF(COUNTIFS($Y$9:$Y$678,Y356)&gt;1,"Nom + ville",IF(AND(Z356&lt;&gt;"",COUNTIFS($Z$9:$Z$678,Z356)&gt;1),"Téléphone",IF(AND(AA356&lt;&gt;"",COUNTIFS($AA$9:$AA$678,AA356)&gt;1),"Site web","")))</x:f>
      </x:c>
      <x:c r="J356" s="33" t="str">
        <x:v>Clinique et Fondation SOVEE</x:v>
      </x:c>
      <x:c r="K356" s="33" t="str">
        <x:v>Santé</x:v>
      </x:c>
      <x:c r="L356" s="33" t="str">
        <x:v>Cliniques</x:v>
      </x:c>
      <x:c r="M356" s="33" t="str">
        <x:v>Conakry (à vérifier)</x:v>
      </x:c>
      <x:c r="N356" s="33" t="str"/>
      <x:c r="O356" s="33" t="str"/>
      <x:c r="P356" s="33" t="str">
        <x:v>+224621377474</x:v>
      </x:c>
      <x:c r="Q356" s="33" t="str"/>
      <x:c r="R356" s="33" t="str"/>
      <x:c r="S356" s="33" t="str"/>
      <x:c r="T356" s="35" t="n">
        <x:v>9.6711531</x:v>
      </x:c>
      <x:c r="U356" s="35" t="n">
        <x:v>-13.5885479</x:v>
      </x:c>
      <x:c r="V356" s="33" t="str">
        <x:v>https://www.openstreetmap.org/node/6042306959</x:v>
      </x:c>
      <x:c r="W356" s="33" t="str">
        <x:v>node/6042306959</x:v>
      </x:c>
      <x:c r="X356" s="33" t="str">
        <x:v>review_required</x:v>
      </x:c>
      <x:c r="Y356" s="33" t="str">
        <x:v>clinique et fondation sovee|conakry a verifier</x:v>
      </x:c>
      <x:c r="Z356" s="33" t="str">
        <x:v>224621377474</x:v>
      </x:c>
      <x:c r="AA356" s="33" t="str"/>
    </x:row>
    <x:row r="357">
      <x:c r="A357" s="30" t="str">
        <x:v>À vérifier</x:v>
      </x:c>
      <x:c r="B357" s="30" t="str"/>
      <x:c r="C357" s="31"/>
      <x:c r="D357" s="30" t="str">
        <x:v>Non vérifié</x:v>
      </x:c>
      <x:c r="E357" s="30" t="str"/>
      <x:c r="F357" s="30" t="str"/>
      <x:c r="G357" s="32" t="str"/>
      <x:c r="H357" s="33" t="str">
        <x:f>IF(I357&lt;&gt;"","Doublon possible","")</x:f>
      </x:c>
      <x:c r="I357" s="33" t="str">
        <x:f>IF(COUNTIFS($Y$9:$Y$678,Y357)&gt;1,"Nom + ville",IF(AND(Z357&lt;&gt;"",COUNTIFS($Z$9:$Z$678,Z357)&gt;1),"Téléphone",IF(AND(AA357&lt;&gt;"",COUNTIFS($AA$9:$AA$678,AA357)&gt;1),"Site web","")))</x:f>
      </x:c>
      <x:c r="J357" s="33" t="str">
        <x:v>Clinique Medico chirurgicale</x:v>
      </x:c>
      <x:c r="K357" s="33" t="str">
        <x:v>Santé</x:v>
      </x:c>
      <x:c r="L357" s="33" t="str">
        <x:v>Cliniques</x:v>
      </x:c>
      <x:c r="M357" s="33" t="str">
        <x:v>Conakry (à vérifier)</x:v>
      </x:c>
      <x:c r="N357" s="33" t="str"/>
      <x:c r="O357" s="33" t="str"/>
      <x:c r="P357" s="33" t="str">
        <x:v>+224655626513</x:v>
      </x:c>
      <x:c r="Q357" s="33" t="str"/>
      <x:c r="R357" s="33" t="str"/>
      <x:c r="S357" s="33" t="str"/>
      <x:c r="T357" s="35" t="n">
        <x:v>9.5597735</x:v>
      </x:c>
      <x:c r="U357" s="35" t="n">
        <x:v>-13.6394973</x:v>
      </x:c>
      <x:c r="V357" s="33" t="str">
        <x:v>https://www.openstreetmap.org/node/5494060524</x:v>
      </x:c>
      <x:c r="W357" s="33" t="str">
        <x:v>node/5494060524</x:v>
      </x:c>
      <x:c r="X357" s="33" t="str">
        <x:v>review_required</x:v>
      </x:c>
      <x:c r="Y357" s="33" t="str">
        <x:v>clinique medico chirurgicale|conakry a verifier</x:v>
      </x:c>
      <x:c r="Z357" s="33" t="str">
        <x:v>224655626513</x:v>
      </x:c>
      <x:c r="AA357" s="33" t="str"/>
    </x:row>
    <x:row r="358">
      <x:c r="A358" s="30" t="str">
        <x:v>À vérifier</x:v>
      </x:c>
      <x:c r="B358" s="30" t="str"/>
      <x:c r="C358" s="31"/>
      <x:c r="D358" s="30" t="str">
        <x:v>Non vérifié</x:v>
      </x:c>
      <x:c r="E358" s="30" t="str"/>
      <x:c r="F358" s="30" t="str"/>
      <x:c r="G358" s="32" t="str"/>
      <x:c r="H358" s="33" t="str">
        <x:f>IF(I358&lt;&gt;"","Doublon possible","")</x:f>
      </x:c>
      <x:c r="I358" s="33" t="str">
        <x:f>IF(COUNTIFS($Y$9:$Y$678,Y358)&gt;1,"Nom + ville",IF(AND(Z358&lt;&gt;"",COUNTIFS($Z$9:$Z$678,Z358)&gt;1),"Téléphone",IF(AND(AA358&lt;&gt;"",COUNTIFS($AA$9:$AA$678,AA358)&gt;1),"Site web","")))</x:f>
      </x:c>
      <x:c r="J358" s="33" t="str">
        <x:v>Clinique Medico-chirurgicale BELLEDONE</x:v>
      </x:c>
      <x:c r="K358" s="33" t="str">
        <x:v>Santé</x:v>
      </x:c>
      <x:c r="L358" s="33" t="str">
        <x:v>Cliniques</x:v>
      </x:c>
      <x:c r="M358" s="33" t="str">
        <x:v>Conakry (à vérifier)</x:v>
      </x:c>
      <x:c r="N358" s="33" t="str"/>
      <x:c r="O358" s="33" t="str"/>
      <x:c r="P358" s="33" t="str">
        <x:v>+224666095238</x:v>
      </x:c>
      <x:c r="Q358" s="33" t="str"/>
      <x:c r="R358" s="33" t="str"/>
      <x:c r="S358" s="33" t="str"/>
      <x:c r="T358" s="35" t="n">
        <x:v>9.6320479</x:v>
      </x:c>
      <x:c r="U358" s="35" t="n">
        <x:v>-13.5737403</x:v>
      </x:c>
      <x:c r="V358" s="33" t="str">
        <x:v>https://www.openstreetmap.org/node/7223175736</x:v>
      </x:c>
      <x:c r="W358" s="33" t="str">
        <x:v>node/7223175736</x:v>
      </x:c>
      <x:c r="X358" s="33" t="str">
        <x:v>review_required</x:v>
      </x:c>
      <x:c r="Y358" s="33" t="str">
        <x:v>clinique medico chirurgicale belledone|conakry a verifier</x:v>
      </x:c>
      <x:c r="Z358" s="33" t="str">
        <x:v>224666095238</x:v>
      </x:c>
      <x:c r="AA358" s="33" t="str"/>
    </x:row>
    <x:row r="359">
      <x:c r="A359" s="30" t="str">
        <x:v>À vérifier</x:v>
      </x:c>
      <x:c r="B359" s="30" t="str"/>
      <x:c r="C359" s="31"/>
      <x:c r="D359" s="30" t="str">
        <x:v>Non vérifié</x:v>
      </x:c>
      <x:c r="E359" s="30" t="str"/>
      <x:c r="F359" s="30" t="str"/>
      <x:c r="G359" s="32" t="str"/>
      <x:c r="H359" s="33" t="str">
        <x:f>IF(I359&lt;&gt;"","Doublon possible","")</x:f>
      </x:c>
      <x:c r="I359" s="33" t="str">
        <x:f>IF(COUNTIFS($Y$9:$Y$678,Y359)&gt;1,"Nom + ville",IF(AND(Z359&lt;&gt;"",COUNTIFS($Z$9:$Z$678,Z359)&gt;1),"Téléphone",IF(AND(AA359&lt;&gt;"",COUNTIFS($AA$9:$AA$678,AA359)&gt;1),"Site web","")))</x:f>
      </x:c>
      <x:c r="J359" s="33" t="str">
        <x:v>Clinique médicale Ar-Rahma</x:v>
      </x:c>
      <x:c r="K359" s="33" t="str">
        <x:v>Santé</x:v>
      </x:c>
      <x:c r="L359" s="33" t="str">
        <x:v>Cliniques</x:v>
      </x:c>
      <x:c r="M359" s="33" t="str">
        <x:v>Conakry (à vérifier)</x:v>
      </x:c>
      <x:c r="N359" s="33" t="str"/>
      <x:c r="O359" s="33" t="str"/>
      <x:c r="P359" s="33" t="str">
        <x:v>621246837</x:v>
      </x:c>
      <x:c r="Q359" s="33" t="str"/>
      <x:c r="R359" s="33" t="str"/>
      <x:c r="S359" s="33" t="str"/>
      <x:c r="T359" s="35" t="n">
        <x:v>9.6675143</x:v>
      </x:c>
      <x:c r="U359" s="35" t="n">
        <x:v>-13.5592127</x:v>
      </x:c>
      <x:c r="V359" s="33" t="str">
        <x:v>https://www.openstreetmap.org/node/5892889760</x:v>
      </x:c>
      <x:c r="W359" s="33" t="str">
        <x:v>node/5892889760</x:v>
      </x:c>
      <x:c r="X359" s="33" t="str">
        <x:v>review_required</x:v>
      </x:c>
      <x:c r="Y359" s="33" t="str">
        <x:v>clinique medicale ar rahma|conakry a verifier</x:v>
      </x:c>
      <x:c r="Z359" s="33" t="str">
        <x:v>224621246837</x:v>
      </x:c>
      <x:c r="AA359" s="33" t="str"/>
    </x:row>
    <x:row r="360">
      <x:c r="A360" s="30" t="str">
        <x:v>À vérifier</x:v>
      </x:c>
      <x:c r="B360" s="30" t="str"/>
      <x:c r="C360" s="31"/>
      <x:c r="D360" s="30" t="str">
        <x:v>Non vérifié</x:v>
      </x:c>
      <x:c r="E360" s="30" t="str"/>
      <x:c r="F360" s="30" t="str"/>
      <x:c r="G360" s="32" t="str"/>
      <x:c r="H360" s="33" t="str">
        <x:f>IF(I360&lt;&gt;"","Doublon possible","")</x:f>
      </x:c>
      <x:c r="I360" s="33" t="str">
        <x:f>IF(COUNTIFS($Y$9:$Y$678,Y360)&gt;1,"Nom + ville",IF(AND(Z360&lt;&gt;"",COUNTIFS($Z$9:$Z$678,Z360)&gt;1),"Téléphone",IF(AND(AA360&lt;&gt;"",COUNTIFS($AA$9:$AA$678,AA360)&gt;1),"Site web","")))</x:f>
      </x:c>
      <x:c r="J360" s="33" t="str">
        <x:v>Clinique Médicale Ibad-ALLAH</x:v>
      </x:c>
      <x:c r="K360" s="33" t="str">
        <x:v>Santé</x:v>
      </x:c>
      <x:c r="L360" s="33" t="str">
        <x:v>Cliniques</x:v>
      </x:c>
      <x:c r="M360" s="33" t="str">
        <x:v>Conakry (à vérifier)</x:v>
      </x:c>
      <x:c r="N360" s="33" t="str"/>
      <x:c r="O360" s="33" t="str"/>
      <x:c r="P360" s="33" t="str">
        <x:v>+224624078291</x:v>
      </x:c>
      <x:c r="Q360" s="33" t="str">
        <x:v>thiernoua@yahoo.com</x:v>
      </x:c>
      <x:c r="R360" s="33" t="str"/>
      <x:c r="S360" s="33" t="str"/>
      <x:c r="T360" s="35" t="n">
        <x:v>9.6240335</x:v>
      </x:c>
      <x:c r="U360" s="35" t="n">
        <x:v>-13.5975174</x:v>
      </x:c>
      <x:c r="V360" s="33" t="str">
        <x:v>https://www.openstreetmap.org/node/5522080565</x:v>
      </x:c>
      <x:c r="W360" s="33" t="str">
        <x:v>node/5522080565</x:v>
      </x:c>
      <x:c r="X360" s="33" t="str">
        <x:v>review_required</x:v>
      </x:c>
      <x:c r="Y360" s="33" t="str">
        <x:v>clinique medicale ibad allah|conakry a verifier</x:v>
      </x:c>
      <x:c r="Z360" s="33" t="str">
        <x:v>224624078291</x:v>
      </x:c>
      <x:c r="AA360" s="33" t="str"/>
    </x:row>
    <x:row r="361">
      <x:c r="A361" s="30" t="str">
        <x:v>À vérifier</x:v>
      </x:c>
      <x:c r="B361" s="30" t="str"/>
      <x:c r="C361" s="31"/>
      <x:c r="D361" s="30" t="str">
        <x:v>Non vérifié</x:v>
      </x:c>
      <x:c r="E361" s="30" t="str"/>
      <x:c r="F361" s="30" t="str"/>
      <x:c r="G361" s="32" t="str"/>
      <x:c r="H361" s="33" t="str">
        <x:f>IF(I361&lt;&gt;"","Doublon possible","")</x:f>
        <x:v>Doublon possible</x:v>
      </x:c>
      <x:c r="I361" s="33" t="str">
        <x:f>IF(COUNTIFS($Y$9:$Y$678,Y361)&gt;1,"Nom + ville",IF(AND(Z361&lt;&gt;"",COUNTIFS($Z$9:$Z$678,Z361)&gt;1),"Téléphone",IF(AND(AA361&lt;&gt;"",COUNTIFS($AA$9:$AA$678,AA361)&gt;1),"Site web","")))</x:f>
        <x:v>Nom + ville</x:v>
      </x:c>
      <x:c r="J361" s="33" t="str">
        <x:v>Clinique Médicale Néné Aminata de  Kobaya</x:v>
      </x:c>
      <x:c r="K361" s="33" t="str">
        <x:v>Santé</x:v>
      </x:c>
      <x:c r="L361" s="33" t="str">
        <x:v>Cliniques</x:v>
      </x:c>
      <x:c r="M361" s="33" t="str">
        <x:v>Conakry (à vérifier)</x:v>
      </x:c>
      <x:c r="N361" s="33" t="str"/>
      <x:c r="O361" s="33" t="str"/>
      <x:c r="P361" s="33" t="str">
        <x:v>610675252</x:v>
      </x:c>
      <x:c r="Q361" s="33" t="str">
        <x:v>cmnakobaya@gmail.com</x:v>
      </x:c>
      <x:c r="R361" s="33" t="str"/>
      <x:c r="S361" s="33" t="str"/>
      <x:c r="T361" s="35" t="n">
        <x:v>9.651516</x:v>
      </x:c>
      <x:c r="U361" s="35" t="n">
        <x:v>-13.5953373</x:v>
      </x:c>
      <x:c r="V361" s="33" t="str">
        <x:v>https://www.openstreetmap.org/node/11146804005</x:v>
      </x:c>
      <x:c r="W361" s="33" t="str">
        <x:v>node/11146804005</x:v>
      </x:c>
      <x:c r="X361" s="33" t="str">
        <x:v>review_required</x:v>
      </x:c>
      <x:c r="Y361" s="33" t="str">
        <x:v>clinique medicale nene aminata de kobaya|conakry a verifier</x:v>
      </x:c>
      <x:c r="Z361" s="33" t="str">
        <x:v>224610675252</x:v>
      </x:c>
      <x:c r="AA361" s="33" t="str"/>
    </x:row>
    <x:row r="362">
      <x:c r="A362" s="30" t="str">
        <x:v>À vérifier</x:v>
      </x:c>
      <x:c r="B362" s="30" t="str"/>
      <x:c r="C362" s="31"/>
      <x:c r="D362" s="30" t="str">
        <x:v>Non vérifié</x:v>
      </x:c>
      <x:c r="E362" s="30" t="str"/>
      <x:c r="F362" s="30" t="str"/>
      <x:c r="G362" s="32" t="str"/>
      <x:c r="H362" s="33" t="str">
        <x:f>IF(I362&lt;&gt;"","Doublon possible","")</x:f>
        <x:v>Doublon possible</x:v>
      </x:c>
      <x:c r="I362" s="33" t="str">
        <x:f>IF(COUNTIFS($Y$9:$Y$678,Y362)&gt;1,"Nom + ville",IF(AND(Z362&lt;&gt;"",COUNTIFS($Z$9:$Z$678,Z362)&gt;1),"Téléphone",IF(AND(AA362&lt;&gt;"",COUNTIFS($AA$9:$AA$678,AA362)&gt;1),"Site web","")))</x:f>
        <x:v>Nom + ville</x:v>
      </x:c>
      <x:c r="J362" s="33" t="str">
        <x:v>Clinique Médicale Néné Aminata de Kobaya</x:v>
      </x:c>
      <x:c r="K362" s="33" t="str">
        <x:v>Santé</x:v>
      </x:c>
      <x:c r="L362" s="33" t="str">
        <x:v>Cliniques</x:v>
      </x:c>
      <x:c r="M362" s="33" t="str">
        <x:v>Conakry (à vérifier)</x:v>
      </x:c>
      <x:c r="N362" s="33" t="str"/>
      <x:c r="O362" s="33" t="str"/>
      <x:c r="P362" s="33" t="str">
        <x:v>610675252</x:v>
      </x:c>
      <x:c r="Q362" s="33" t="str">
        <x:v>cmnakobaya@gmail.com</x:v>
      </x:c>
      <x:c r="R362" s="33" t="str"/>
      <x:c r="S362" s="33" t="str"/>
      <x:c r="T362" s="35" t="n">
        <x:v>9.6532225</x:v>
      </x:c>
      <x:c r="U362" s="35" t="n">
        <x:v>-13.5953168</x:v>
      </x:c>
      <x:c r="V362" s="33" t="str">
        <x:v>https://www.openstreetmap.org/node/11146738206</x:v>
      </x:c>
      <x:c r="W362" s="33" t="str">
        <x:v>node/11146738206</x:v>
      </x:c>
      <x:c r="X362" s="33" t="str">
        <x:v>review_required</x:v>
      </x:c>
      <x:c r="Y362" s="33" t="str">
        <x:v>clinique medicale nene aminata de kobaya|conakry a verifier</x:v>
      </x:c>
      <x:c r="Z362" s="33" t="str">
        <x:v>224610675252</x:v>
      </x:c>
      <x:c r="AA362" s="33" t="str"/>
    </x:row>
    <x:row r="363">
      <x:c r="A363" s="30" t="str">
        <x:v>À vérifier</x:v>
      </x:c>
      <x:c r="B363" s="30" t="str"/>
      <x:c r="C363" s="31"/>
      <x:c r="D363" s="30" t="str">
        <x:v>Non vérifié</x:v>
      </x:c>
      <x:c r="E363" s="30" t="str"/>
      <x:c r="F363" s="30" t="str"/>
      <x:c r="G363" s="32" t="str"/>
      <x:c r="H363" s="33" t="str">
        <x:f>IF(I363&lt;&gt;"","Doublon possible","")</x:f>
      </x:c>
      <x:c r="I363" s="33" t="str">
        <x:f>IF(COUNTIFS($Y$9:$Y$678,Y363)&gt;1,"Nom + ville",IF(AND(Z363&lt;&gt;"",COUNTIFS($Z$9:$Z$678,Z363)&gt;1),"Téléphone",IF(AND(AA363&lt;&gt;"",COUNTIFS($AA$9:$AA$678,AA363)&gt;1),"Site web","")))</x:f>
      </x:c>
      <x:c r="J363" s="33" t="str">
        <x:v>Clinique Médicale Santé pour tous</x:v>
      </x:c>
      <x:c r="K363" s="33" t="str">
        <x:v>Santé</x:v>
      </x:c>
      <x:c r="L363" s="33" t="str">
        <x:v>Cliniques</x:v>
      </x:c>
      <x:c r="M363" s="33" t="str">
        <x:v>Conakry (à vérifier)</x:v>
      </x:c>
      <x:c r="N363" s="33" t="str"/>
      <x:c r="O363" s="33" t="str"/>
      <x:c r="P363" s="33" t="str">
        <x:v>622889922</x:v>
      </x:c>
      <x:c r="Q363" s="33" t="str"/>
      <x:c r="R363" s="33" t="str"/>
      <x:c r="S363" s="33" t="str"/>
      <x:c r="T363" s="35" t="n">
        <x:v>9.5721193</x:v>
      </x:c>
      <x:c r="U363" s="35" t="n">
        <x:v>-13.6269246</x:v>
      </x:c>
      <x:c r="V363" s="33" t="str">
        <x:v>https://www.openstreetmap.org/node/9035643989</x:v>
      </x:c>
      <x:c r="W363" s="33" t="str">
        <x:v>node/9035643989</x:v>
      </x:c>
      <x:c r="X363" s="33" t="str">
        <x:v>review_required</x:v>
      </x:c>
      <x:c r="Y363" s="33" t="str">
        <x:v>clinique medicale sante pour tous|conakry a verifier</x:v>
      </x:c>
      <x:c r="Z363" s="33" t="str">
        <x:v>224622889922</x:v>
      </x:c>
      <x:c r="AA363" s="33" t="str"/>
    </x:row>
    <x:row r="364">
      <x:c r="A364" s="30" t="str">
        <x:v>À vérifier</x:v>
      </x:c>
      <x:c r="B364" s="30" t="str"/>
      <x:c r="C364" s="31"/>
      <x:c r="D364" s="30" t="str">
        <x:v>Non vérifié</x:v>
      </x:c>
      <x:c r="E364" s="30" t="str"/>
      <x:c r="F364" s="30" t="str"/>
      <x:c r="G364" s="32" t="str"/>
      <x:c r="H364" s="33" t="str">
        <x:f>IF(I364&lt;&gt;"","Doublon possible","")</x:f>
      </x:c>
      <x:c r="I364" s="33" t="str">
        <x:f>IF(COUNTIFS($Y$9:$Y$678,Y364)&gt;1,"Nom + ville",IF(AND(Z364&lt;&gt;"",COUNTIFS($Z$9:$Z$678,Z364)&gt;1),"Téléphone",IF(AND(AA364&lt;&gt;"",COUNTIFS($AA$9:$AA$678,AA364)&gt;1),"Site web","")))</x:f>
      </x:c>
      <x:c r="J364" s="33" t="str">
        <x:v>Clinique Médico-Chirurgicale Rio Nunez</x:v>
      </x:c>
      <x:c r="K364" s="33" t="str">
        <x:v>Santé</x:v>
      </x:c>
      <x:c r="L364" s="33" t="str">
        <x:v>Cliniques</x:v>
      </x:c>
      <x:c r="M364" s="33" t="str">
        <x:v>Conakry (à vérifier)</x:v>
      </x:c>
      <x:c r="N364" s="33" t="str"/>
      <x:c r="O364" s="33" t="str"/>
      <x:c r="P364" s="33" t="str">
        <x:v>610106363</x:v>
      </x:c>
      <x:c r="Q364" s="33" t="str">
        <x:v>cliniquerionunez@gmail.com</x:v>
      </x:c>
      <x:c r="R364" s="33" t="str"/>
      <x:c r="S364" s="33" t="str"/>
      <x:c r="T364" s="35" t="n">
        <x:v>9.6392344</x:v>
      </x:c>
      <x:c r="U364" s="35" t="n">
        <x:v>-13.6119012</x:v>
      </x:c>
      <x:c r="V364" s="33" t="str">
        <x:v>https://www.openstreetmap.org/node/13595921053</x:v>
      </x:c>
      <x:c r="W364" s="33" t="str">
        <x:v>node/13595921053</x:v>
      </x:c>
      <x:c r="X364" s="33" t="str">
        <x:v>review_required</x:v>
      </x:c>
      <x:c r="Y364" s="33" t="str">
        <x:v>clinique medico chirurgicale rio nunez|conakry a verifier</x:v>
      </x:c>
      <x:c r="Z364" s="33" t="str">
        <x:v>224610106363</x:v>
      </x:c>
      <x:c r="AA364" s="33" t="str"/>
    </x:row>
    <x:row r="365">
      <x:c r="A365" s="30" t="str">
        <x:v>À vérifier</x:v>
      </x:c>
      <x:c r="B365" s="30" t="str"/>
      <x:c r="C365" s="31"/>
      <x:c r="D365" s="30" t="str">
        <x:v>Non vérifié</x:v>
      </x:c>
      <x:c r="E365" s="30" t="str"/>
      <x:c r="F365" s="30" t="str"/>
      <x:c r="G365" s="32" t="str"/>
      <x:c r="H365" s="33" t="str">
        <x:f>IF(I365&lt;&gt;"","Doublon possible","")</x:f>
      </x:c>
      <x:c r="I365" s="33" t="str">
        <x:f>IF(COUNTIFS($Y$9:$Y$678,Y365)&gt;1,"Nom + ville",IF(AND(Z365&lt;&gt;"",COUNTIFS($Z$9:$Z$678,Z365)&gt;1),"Téléphone",IF(AND(AA365&lt;&gt;"",COUNTIFS($AA$9:$AA$678,AA365)&gt;1),"Site web","")))</x:f>
      </x:c>
      <x:c r="J365" s="33" t="str">
        <x:v>Clinique OS. Pro S. Guinée</x:v>
      </x:c>
      <x:c r="K365" s="33" t="str">
        <x:v>Santé</x:v>
      </x:c>
      <x:c r="L365" s="33" t="str">
        <x:v>Cliniques</x:v>
      </x:c>
      <x:c r="M365" s="33" t="str">
        <x:v>Conakry (à vérifier)</x:v>
      </x:c>
      <x:c r="N365" s="33" t="str"/>
      <x:c r="O365" s="33" t="str"/>
      <x:c r="P365" s="33" t="str">
        <x:v>+224625283958</x:v>
      </x:c>
      <x:c r="Q365" s="33" t="str"/>
      <x:c r="R365" s="33" t="str"/>
      <x:c r="S365" s="33" t="str"/>
      <x:c r="T365" s="35" t="n">
        <x:v>9.7145675</x:v>
      </x:c>
      <x:c r="U365" s="35" t="n">
        <x:v>-13.5016219</x:v>
      </x:c>
      <x:c r="V365" s="33" t="str">
        <x:v>https://www.openstreetmap.org/node/5815790705</x:v>
      </x:c>
      <x:c r="W365" s="33" t="str">
        <x:v>node/5815790705</x:v>
      </x:c>
      <x:c r="X365" s="33" t="str">
        <x:v>review_required</x:v>
      </x:c>
      <x:c r="Y365" s="33" t="str">
        <x:v>clinique os pro s guinee|conakry a verifier</x:v>
      </x:c>
      <x:c r="Z365" s="33" t="str">
        <x:v>224625283958</x:v>
      </x:c>
      <x:c r="AA365" s="33" t="str"/>
    </x:row>
    <x:row r="366">
      <x:c r="A366" s="30" t="str">
        <x:v>À vérifier</x:v>
      </x:c>
      <x:c r="B366" s="30" t="str"/>
      <x:c r="C366" s="31"/>
      <x:c r="D366" s="30" t="str">
        <x:v>Non vérifié</x:v>
      </x:c>
      <x:c r="E366" s="30" t="str"/>
      <x:c r="F366" s="30" t="str"/>
      <x:c r="G366" s="32" t="str"/>
      <x:c r="H366" s="33" t="str">
        <x:f>IF(I366&lt;&gt;"","Doublon possible","")</x:f>
      </x:c>
      <x:c r="I366" s="33" t="str">
        <x:f>IF(COUNTIFS($Y$9:$Y$678,Y366)&gt;1,"Nom + ville",IF(AND(Z366&lt;&gt;"",COUNTIFS($Z$9:$Z$678,Z366)&gt;1),"Téléphone",IF(AND(AA366&lt;&gt;"",COUNTIFS($AA$9:$AA$678,AA366)&gt;1),"Site web","")))</x:f>
      </x:c>
      <x:c r="J366" s="33" t="str">
        <x:v>Donka Hospital</x:v>
      </x:c>
      <x:c r="K366" s="33" t="str">
        <x:v>Santé</x:v>
      </x:c>
      <x:c r="L366" s="33" t="str">
        <x:v>Hôpitaux</x:v>
      </x:c>
      <x:c r="M366" s="33" t="str">
        <x:v>Conakry (à vérifier)</x:v>
      </x:c>
      <x:c r="N366" s="33" t="str"/>
      <x:c r="O366" s="33" t="str">
        <x:v>Route Donka</x:v>
      </x:c>
      <x:c r="P366" s="33" t="str"/>
      <x:c r="Q366" s="33" t="str"/>
      <x:c r="R366" s="33" t="str"/>
      <x:c r="S366" s="33" t="str"/>
      <x:c r="T366" s="35" t="n">
        <x:v>9.5359437</x:v>
      </x:c>
      <x:c r="U366" s="35" t="n">
        <x:v>-13.6822279</x:v>
      </x:c>
      <x:c r="V366" s="33" t="str">
        <x:v>https://www.openstreetmap.org/way/338977493</x:v>
      </x:c>
      <x:c r="W366" s="33" t="str">
        <x:v>way/338977493</x:v>
      </x:c>
      <x:c r="X366" s="33" t="str">
        <x:v>review_required</x:v>
      </x:c>
      <x:c r="Y366" s="33" t="str">
        <x:v>donka hospital|conakry a verifier</x:v>
      </x:c>
      <x:c r="Z366" s="33" t="str"/>
      <x:c r="AA366" s="33" t="str"/>
    </x:row>
    <x:row r="367">
      <x:c r="A367" s="30" t="str">
        <x:v>À vérifier</x:v>
      </x:c>
      <x:c r="B367" s="30" t="str"/>
      <x:c r="C367" s="31"/>
      <x:c r="D367" s="30" t="str">
        <x:v>Non vérifié</x:v>
      </x:c>
      <x:c r="E367" s="30" t="str"/>
      <x:c r="F367" s="30" t="str"/>
      <x:c r="G367" s="32" t="str"/>
      <x:c r="H367" s="33" t="str">
        <x:f>IF(I367&lt;&gt;"","Doublon possible","")</x:f>
      </x:c>
      <x:c r="I367" s="33" t="str">
        <x:f>IF(COUNTIFS($Y$9:$Y$678,Y367)&gt;1,"Nom + ville",IF(AND(Z367&lt;&gt;"",COUNTIFS($Z$9:$Z$678,Z367)&gt;1),"Téléphone",IF(AND(AA367&lt;&gt;"",COUNTIFS($AA$9:$AA$678,AA367)&gt;1),"Site web","")))</x:f>
      </x:c>
      <x:c r="J367" s="33" t="str">
        <x:v>Garaya Pharmacie</x:v>
      </x:c>
      <x:c r="K367" s="33" t="str">
        <x:v>Santé</x:v>
      </x:c>
      <x:c r="L367" s="33" t="str">
        <x:v>Pharmacies</x:v>
      </x:c>
      <x:c r="M367" s="33" t="str">
        <x:v>Conakry (à vérifier)</x:v>
      </x:c>
      <x:c r="N367" s="33" t="str"/>
      <x:c r="O367" s="33" t="str"/>
      <x:c r="P367" s="33" t="str">
        <x:v>+224655700044</x:v>
      </x:c>
      <x:c r="Q367" s="33" t="str">
        <x:v>babdouiph@yahoo.fr</x:v>
      </x:c>
      <x:c r="R367" s="33" t="str"/>
      <x:c r="S367" s="33" t="str"/>
      <x:c r="T367" s="35" t="n">
        <x:v>9.6064801</x:v>
      </x:c>
      <x:c r="U367" s="35" t="n">
        <x:v>-13.6129964</x:v>
      </x:c>
      <x:c r="V367" s="33" t="str">
        <x:v>https://www.openstreetmap.org/node/5895184272</x:v>
      </x:c>
      <x:c r="W367" s="33" t="str">
        <x:v>node/5895184272</x:v>
      </x:c>
      <x:c r="X367" s="33" t="str">
        <x:v>review_required</x:v>
      </x:c>
      <x:c r="Y367" s="33" t="str">
        <x:v>garaya pharmacie|conakry a verifier</x:v>
      </x:c>
      <x:c r="Z367" s="33" t="str">
        <x:v>224655700044</x:v>
      </x:c>
      <x:c r="AA367" s="33" t="str"/>
    </x:row>
    <x:row r="368">
      <x:c r="A368" s="30" t="str">
        <x:v>À vérifier</x:v>
      </x:c>
      <x:c r="B368" s="30" t="str"/>
      <x:c r="C368" s="31"/>
      <x:c r="D368" s="30" t="str">
        <x:v>Non vérifié</x:v>
      </x:c>
      <x:c r="E368" s="30" t="str"/>
      <x:c r="F368" s="30" t="str"/>
      <x:c r="G368" s="32" t="str"/>
      <x:c r="H368" s="33" t="str">
        <x:f>IF(I368&lt;&gt;"","Doublon possible","")</x:f>
      </x:c>
      <x:c r="I368" s="33" t="str">
        <x:f>IF(COUNTIFS($Y$9:$Y$678,Y368)&gt;1,"Nom + ville",IF(AND(Z368&lt;&gt;"",COUNTIFS($Z$9:$Z$678,Z368)&gt;1),"Téléphone",IF(AND(AA368&lt;&gt;"",COUNTIFS($AA$9:$AA$678,AA368)&gt;1),"Site web","")))</x:f>
      </x:c>
      <x:c r="J368" s="33" t="str">
        <x:v>Groupe Herbal Centre</x:v>
      </x:c>
      <x:c r="K368" s="33" t="str">
        <x:v>Santé</x:v>
      </x:c>
      <x:c r="L368" s="33" t="str">
        <x:v>Cliniques</x:v>
      </x:c>
      <x:c r="M368" s="33" t="str">
        <x:v>Conakry (à vérifier)</x:v>
      </x:c>
      <x:c r="N368" s="33" t="str"/>
      <x:c r="O368" s="33" t="str"/>
      <x:c r="P368" s="33" t="str">
        <x:v>+224669128998 621893437</x:v>
      </x:c>
      <x:c r="Q368" s="33" t="str">
        <x:v>groupherbalcentre@gmail.com</x:v>
      </x:c>
      <x:c r="R368" s="33" t="str"/>
      <x:c r="S368" s="33" t="str"/>
      <x:c r="T368" s="35" t="n">
        <x:v>9.5813952</x:v>
      </x:c>
      <x:c r="U368" s="35" t="n">
        <x:v>-13.6484015</x:v>
      </x:c>
      <x:c r="V368" s="33" t="str">
        <x:v>https://www.openstreetmap.org/node/6023245821</x:v>
      </x:c>
      <x:c r="W368" s="33" t="str">
        <x:v>node/6023245821</x:v>
      </x:c>
      <x:c r="X368" s="33" t="str">
        <x:v>review_required</x:v>
      </x:c>
      <x:c r="Y368" s="33" t="str">
        <x:v>groupe herbal centre|conakry a verifier</x:v>
      </x:c>
      <x:c r="Z368" s="33" t="str">
        <x:v>224669128998621893437</x:v>
      </x:c>
      <x:c r="AA368" s="33" t="str"/>
    </x:row>
    <x:row r="369">
      <x:c r="A369" s="30" t="str">
        <x:v>À vérifier</x:v>
      </x:c>
      <x:c r="B369" s="30" t="str"/>
      <x:c r="C369" s="31"/>
      <x:c r="D369" s="30" t="str">
        <x:v>Non vérifié</x:v>
      </x:c>
      <x:c r="E369" s="30" t="str"/>
      <x:c r="F369" s="30" t="str"/>
      <x:c r="G369" s="32" t="str"/>
      <x:c r="H369" s="33" t="str">
        <x:f>IF(I369&lt;&gt;"","Doublon possible","")</x:f>
      </x:c>
      <x:c r="I369" s="33" t="str">
        <x:f>IF(COUNTIFS($Y$9:$Y$678,Y369)&gt;1,"Nom + ville",IF(AND(Z369&lt;&gt;"",COUNTIFS($Z$9:$Z$678,Z369)&gt;1),"Téléphone",IF(AND(AA369&lt;&gt;"",COUNTIFS($AA$9:$AA$678,AA369)&gt;1),"Site web","")))</x:f>
      </x:c>
      <x:c r="J369" s="33" t="str">
        <x:v>Guinée Dental</x:v>
      </x:c>
      <x:c r="K369" s="33" t="str">
        <x:v>Santé</x:v>
      </x:c>
      <x:c r="L369" s="33" t="str">
        <x:v>Cliniques</x:v>
      </x:c>
      <x:c r="M369" s="33" t="str">
        <x:v>Conakry (à vérifier)</x:v>
      </x:c>
      <x:c r="N369" s="33" t="str"/>
      <x:c r="O369" s="33" t="str"/>
      <x:c r="P369" s="33" t="str">
        <x:v>625233889</x:v>
      </x:c>
      <x:c r="Q369" s="33" t="str">
        <x:v>guineedental84@gmail.com</x:v>
      </x:c>
      <x:c r="R369" s="33" t="str"/>
      <x:c r="S369" s="33" t="str"/>
      <x:c r="T369" s="35" t="n">
        <x:v>9.5812365</x:v>
      </x:c>
      <x:c r="U369" s="35" t="n">
        <x:v>-13.6581675</x:v>
      </x:c>
      <x:c r="V369" s="33" t="str">
        <x:v>https://www.openstreetmap.org/node/6967194603</x:v>
      </x:c>
      <x:c r="W369" s="33" t="str">
        <x:v>node/6967194603</x:v>
      </x:c>
      <x:c r="X369" s="33" t="str">
        <x:v>review_required</x:v>
      </x:c>
      <x:c r="Y369" s="33" t="str">
        <x:v>guinee dental|conakry a verifier</x:v>
      </x:c>
      <x:c r="Z369" s="33" t="str">
        <x:v>224625233889</x:v>
      </x:c>
      <x:c r="AA369" s="33" t="str"/>
    </x:row>
    <x:row r="370">
      <x:c r="A370" s="30" t="str">
        <x:v>À vérifier</x:v>
      </x:c>
      <x:c r="B370" s="30" t="str"/>
      <x:c r="C370" s="31"/>
      <x:c r="D370" s="30" t="str">
        <x:v>Non vérifié</x:v>
      </x:c>
      <x:c r="E370" s="30" t="str"/>
      <x:c r="F370" s="30" t="str"/>
      <x:c r="G370" s="32" t="str"/>
      <x:c r="H370" s="33" t="str">
        <x:f>IF(I370&lt;&gt;"","Doublon possible","")</x:f>
      </x:c>
      <x:c r="I370" s="33" t="str">
        <x:f>IF(COUNTIFS($Y$9:$Y$678,Y370)&gt;1,"Nom + ville",IF(AND(Z370&lt;&gt;"",COUNTIFS($Z$9:$Z$678,Z370)&gt;1),"Téléphone",IF(AND(AA370&lt;&gt;"",COUNTIFS($AA$9:$AA$678,AA370)&gt;1),"Site web","")))</x:f>
      </x:c>
      <x:c r="J370" s="33" t="str">
        <x:v>Gynécologue Dr Goma</x:v>
      </x:c>
      <x:c r="K370" s="33" t="str">
        <x:v>Santé</x:v>
      </x:c>
      <x:c r="L370" s="33" t="str">
        <x:v>Cliniques</x:v>
      </x:c>
      <x:c r="M370" s="33" t="str">
        <x:v>Conakry (à vérifier)</x:v>
      </x:c>
      <x:c r="N370" s="33" t="str"/>
      <x:c r="O370" s="33" t="str"/>
      <x:c r="P370" s="33" t="str">
        <x:v>631997799</x:v>
      </x:c>
      <x:c r="Q370" s="33" t="str"/>
      <x:c r="R370" s="33" t="str"/>
      <x:c r="S370" s="33" t="str"/>
      <x:c r="T370" s="35" t="n">
        <x:v>9.6375713</x:v>
      </x:c>
      <x:c r="U370" s="35" t="n">
        <x:v>-13.6123929</x:v>
      </x:c>
      <x:c r="V370" s="33" t="str">
        <x:v>https://www.openstreetmap.org/node/5528603196</x:v>
      </x:c>
      <x:c r="W370" s="33" t="str">
        <x:v>node/5528603196</x:v>
      </x:c>
      <x:c r="X370" s="33" t="str">
        <x:v>review_required</x:v>
      </x:c>
      <x:c r="Y370" s="33" t="str">
        <x:v>gynecologue dr goma|conakry a verifier</x:v>
      </x:c>
      <x:c r="Z370" s="33" t="str">
        <x:v>224631997799</x:v>
      </x:c>
      <x:c r="AA370" s="33" t="str"/>
    </x:row>
    <x:row r="371">
      <x:c r="A371" s="30" t="str">
        <x:v>À vérifier</x:v>
      </x:c>
      <x:c r="B371" s="30" t="str"/>
      <x:c r="C371" s="31"/>
      <x:c r="D371" s="30" t="str">
        <x:v>Non vérifié</x:v>
      </x:c>
      <x:c r="E371" s="30" t="str"/>
      <x:c r="F371" s="30" t="str"/>
      <x:c r="G371" s="32" t="str"/>
      <x:c r="H371" s="33" t="str">
        <x:f>IF(I371&lt;&gt;"","Doublon possible","")</x:f>
      </x:c>
      <x:c r="I371" s="33" t="str">
        <x:f>IF(COUNTIFS($Y$9:$Y$678,Y371)&gt;1,"Nom + ville",IF(AND(Z371&lt;&gt;"",COUNTIFS($Z$9:$Z$678,Z371)&gt;1),"Téléphone",IF(AND(AA371&lt;&gt;"",COUNTIFS($AA$9:$AA$678,AA371)&gt;1),"Site web","")))</x:f>
      </x:c>
      <x:c r="J371" s="33" t="str">
        <x:v>Hopital Ignace Deen</x:v>
      </x:c>
      <x:c r="K371" s="33" t="str">
        <x:v>Santé</x:v>
      </x:c>
      <x:c r="L371" s="33" t="str">
        <x:v>Hôpitaux</x:v>
      </x:c>
      <x:c r="M371" s="33" t="str">
        <x:v>Conakry (à vérifier)</x:v>
      </x:c>
      <x:c r="N371" s="33" t="str"/>
      <x:c r="O371" s="33" t="str"/>
      <x:c r="P371" s="33" t="str">
        <x:v>+224 622 40 12;  +224 664 41 58 40</x:v>
      </x:c>
      <x:c r="Q371" s="33" t="str"/>
      <x:c r="R371" s="33" t="str"/>
      <x:c r="S371" s="33" t="str"/>
      <x:c r="T371" s="35" t="n">
        <x:v>9.5068826</x:v>
      </x:c>
      <x:c r="U371" s="35" t="n">
        <x:v>-13.7050056</x:v>
      </x:c>
      <x:c r="V371" s="33" t="str">
        <x:v>https://www.openstreetmap.org/way/549652805</x:v>
      </x:c>
      <x:c r="W371" s="33" t="str">
        <x:v>way/549652805</x:v>
      </x:c>
      <x:c r="X371" s="33" t="str">
        <x:v>review_required</x:v>
      </x:c>
      <x:c r="Y371" s="33" t="str">
        <x:v>hopital ignace deen|conakry a verifier</x:v>
      </x:c>
      <x:c r="Z371" s="33" t="str">
        <x:v>2246224012224664415840</x:v>
      </x:c>
      <x:c r="AA371" s="33" t="str"/>
    </x:row>
    <x:row r="372">
      <x:c r="A372" s="30" t="str">
        <x:v>À vérifier</x:v>
      </x:c>
      <x:c r="B372" s="30" t="str"/>
      <x:c r="C372" s="31"/>
      <x:c r="D372" s="30" t="str">
        <x:v>Non vérifié</x:v>
      </x:c>
      <x:c r="E372" s="30" t="str"/>
      <x:c r="F372" s="30" t="str"/>
      <x:c r="G372" s="32" t="str"/>
      <x:c r="H372" s="33" t="str">
        <x:f>IF(I372&lt;&gt;"","Doublon possible","")</x:f>
      </x:c>
      <x:c r="I372" s="33" t="str">
        <x:f>IF(COUNTIFS($Y$9:$Y$678,Y372)&gt;1,"Nom + ville",IF(AND(Z372&lt;&gt;"",COUNTIFS($Z$9:$Z$678,Z372)&gt;1),"Téléphone",IF(AND(AA372&lt;&gt;"",COUNTIFS($AA$9:$AA$678,AA372)&gt;1),"Site web","")))</x:f>
      </x:c>
      <x:c r="J372" s="33" t="str">
        <x:v>Institut d'odontologie</x:v>
      </x:c>
      <x:c r="K372" s="33" t="str">
        <x:v>Santé</x:v>
      </x:c>
      <x:c r="L372" s="33" t="str">
        <x:v>Cliniques</x:v>
      </x:c>
      <x:c r="M372" s="33" t="str">
        <x:v>Conakry (à vérifier)</x:v>
      </x:c>
      <x:c r="N372" s="33" t="str"/>
      <x:c r="O372" s="33" t="str"/>
      <x:c r="P372" s="33" t="str">
        <x:v>+224628051247</x:v>
      </x:c>
      <x:c r="Q372" s="33" t="str"/>
      <x:c r="R372" s="33" t="str"/>
      <x:c r="S372" s="33" t="str"/>
      <x:c r="T372" s="35" t="n">
        <x:v>9.5901167</x:v>
      </x:c>
      <x:c r="U372" s="35" t="n">
        <x:v>-13.6086633</x:v>
      </x:c>
      <x:c r="V372" s="33" t="str">
        <x:v>https://www.openstreetmap.org/node/5499368699</x:v>
      </x:c>
      <x:c r="W372" s="33" t="str">
        <x:v>node/5499368699</x:v>
      </x:c>
      <x:c r="X372" s="33" t="str">
        <x:v>review_required</x:v>
      </x:c>
      <x:c r="Y372" s="33" t="str">
        <x:v>institut d odontologie|conakry a verifier</x:v>
      </x:c>
      <x:c r="Z372" s="33" t="str">
        <x:v>224628051247</x:v>
      </x:c>
      <x:c r="AA372" s="33" t="str"/>
    </x:row>
    <x:row r="373">
      <x:c r="A373" s="30" t="str">
        <x:v>À vérifier</x:v>
      </x:c>
      <x:c r="B373" s="30" t="str"/>
      <x:c r="C373" s="31"/>
      <x:c r="D373" s="30" t="str">
        <x:v>Non vérifié</x:v>
      </x:c>
      <x:c r="E373" s="30" t="str"/>
      <x:c r="F373" s="30" t="str"/>
      <x:c r="G373" s="32" t="str"/>
      <x:c r="H373" s="33" t="str">
        <x:f>IF(I373&lt;&gt;"","Doublon possible","")</x:f>
      </x:c>
      <x:c r="I373" s="33" t="str">
        <x:f>IF(COUNTIFS($Y$9:$Y$678,Y373)&gt;1,"Nom + ville",IF(AND(Z373&lt;&gt;"",COUNTIFS($Z$9:$Z$678,Z373)&gt;1),"Téléphone",IF(AND(AA373&lt;&gt;"",COUNTIFS($AA$9:$AA$678,AA373)&gt;1),"Site web","")))</x:f>
      </x:c>
      <x:c r="J373" s="33" t="str">
        <x:v>Institut Marc Gentilini des Maladies Infectieuses</x:v>
      </x:c>
      <x:c r="K373" s="33" t="str">
        <x:v>Santé</x:v>
      </x:c>
      <x:c r="L373" s="33" t="str">
        <x:v>Cliniques</x:v>
      </x:c>
      <x:c r="M373" s="33" t="str">
        <x:v>Ratoma</x:v>
      </x:c>
      <x:c r="N373" s="33" t="str"/>
      <x:c r="O373" s="33" t="str">
        <x:v>BP 6852 Conakry Autoroute le Prince</x:v>
      </x:c>
      <x:c r="P373" s="33" t="str">
        <x:v>+224657303008</x:v>
      </x:c>
      <x:c r="Q373" s="33" t="str"/>
      <x:c r="R373" s="33" t="str">
        <x:v>https://institutmg.com/</x:v>
      </x:c>
      <x:c r="S373" s="33" t="str"/>
      <x:c r="T373" s="35" t="n">
        <x:v>9.5986835</x:v>
      </x:c>
      <x:c r="U373" s="35" t="n">
        <x:v>-13.6137623</x:v>
      </x:c>
      <x:c r="V373" s="33" t="str">
        <x:v>https://www.openstreetmap.org/node/9440538686</x:v>
      </x:c>
      <x:c r="W373" s="33" t="str">
        <x:v>node/9440538686</x:v>
      </x:c>
      <x:c r="X373" s="33" t="str">
        <x:v>review_required</x:v>
      </x:c>
      <x:c r="Y373" s="33" t="str">
        <x:v>institut marc gentilini des maladies infectieuses|ratoma</x:v>
      </x:c>
      <x:c r="Z373" s="33" t="str">
        <x:v>224657303008</x:v>
      </x:c>
      <x:c r="AA373" s="33" t="str">
        <x:v>institutmg.com</x:v>
      </x:c>
    </x:row>
    <x:row r="374">
      <x:c r="A374" s="30" t="str">
        <x:v>À vérifier</x:v>
      </x:c>
      <x:c r="B374" s="30" t="str"/>
      <x:c r="C374" s="31"/>
      <x:c r="D374" s="30" t="str">
        <x:v>Non vérifié</x:v>
      </x:c>
      <x:c r="E374" s="30" t="str"/>
      <x:c r="F374" s="30" t="str"/>
      <x:c r="G374" s="32" t="str"/>
      <x:c r="H374" s="33" t="str">
        <x:f>IF(I374&lt;&gt;"","Doublon possible","")</x:f>
      </x:c>
      <x:c r="I374" s="33" t="str">
        <x:f>IF(COUNTIFS($Y$9:$Y$678,Y374)&gt;1,"Nom + ville",IF(AND(Z374&lt;&gt;"",COUNTIFS($Z$9:$Z$678,Z374)&gt;1),"Téléphone",IF(AND(AA374&lt;&gt;"",COUNTIFS($AA$9:$AA$678,AA374)&gt;1),"Site web","")))</x:f>
      </x:c>
      <x:c r="J374" s="33" t="str">
        <x:v>Laboratoire Analyse Biomédicale LANABIOM</x:v>
      </x:c>
      <x:c r="K374" s="33" t="str">
        <x:v>Santé</x:v>
      </x:c>
      <x:c r="L374" s="33" t="str">
        <x:v>Laboratoires</x:v>
      </x:c>
      <x:c r="M374" s="33" t="str">
        <x:v>Conakry (à vérifier)</x:v>
      </x:c>
      <x:c r="N374" s="33" t="str"/>
      <x:c r="O374" s="33" t="str"/>
      <x:c r="P374" s="33" t="str">
        <x:v>622379090</x:v>
      </x:c>
      <x:c r="Q374" s="33" t="str">
        <x:v>lanabiom224@gmail.com</x:v>
      </x:c>
      <x:c r="R374" s="33" t="str"/>
      <x:c r="S374" s="33" t="str"/>
      <x:c r="T374" s="35" t="n">
        <x:v>9.5114888</x:v>
      </x:c>
      <x:c r="U374" s="35" t="n">
        <x:v>-13.7066631</x:v>
      </x:c>
      <x:c r="V374" s="33" t="str">
        <x:v>https://www.openstreetmap.org/node/7643476326</x:v>
      </x:c>
      <x:c r="W374" s="33" t="str">
        <x:v>node/7643476326</x:v>
      </x:c>
      <x:c r="X374" s="33" t="str">
        <x:v>review_required</x:v>
      </x:c>
      <x:c r="Y374" s="33" t="str">
        <x:v>laboratoire analyse biomedicale lanabiom|conakry a verifier</x:v>
      </x:c>
      <x:c r="Z374" s="33" t="str">
        <x:v>224622379090</x:v>
      </x:c>
      <x:c r="AA374" s="33" t="str"/>
    </x:row>
    <x:row r="375">
      <x:c r="A375" s="30" t="str">
        <x:v>À vérifier</x:v>
      </x:c>
      <x:c r="B375" s="30" t="str"/>
      <x:c r="C375" s="31"/>
      <x:c r="D375" s="30" t="str">
        <x:v>Non vérifié</x:v>
      </x:c>
      <x:c r="E375" s="30" t="str"/>
      <x:c r="F375" s="30" t="str"/>
      <x:c r="G375" s="32" t="str"/>
      <x:c r="H375" s="33" t="str">
        <x:f>IF(I375&lt;&gt;"","Doublon possible","")</x:f>
      </x:c>
      <x:c r="I375" s="33" t="str">
        <x:f>IF(COUNTIFS($Y$9:$Y$678,Y375)&gt;1,"Nom + ville",IF(AND(Z375&lt;&gt;"",COUNTIFS($Z$9:$Z$678,Z375)&gt;1),"Téléphone",IF(AND(AA375&lt;&gt;"",COUNTIFS($AA$9:$AA$678,AA375)&gt;1),"Site web","")))</x:f>
      </x:c>
      <x:c r="J375" s="33" t="str">
        <x:v>Laboratoire bio médical BTG</x:v>
      </x:c>
      <x:c r="K375" s="33" t="str">
        <x:v>Santé</x:v>
      </x:c>
      <x:c r="L375" s="33" t="str">
        <x:v>Cliniques</x:v>
      </x:c>
      <x:c r="M375" s="33" t="str">
        <x:v>Conakry (à vérifier)</x:v>
      </x:c>
      <x:c r="N375" s="33" t="str"/>
      <x:c r="O375" s="33" t="str"/>
      <x:c r="P375" s="33" t="str">
        <x:v>+224628557782</x:v>
      </x:c>
      <x:c r="Q375" s="33" t="str">
        <x:v>abdourahmane1960@gmail.com</x:v>
      </x:c>
      <x:c r="R375" s="33" t="str"/>
      <x:c r="S375" s="33" t="str"/>
      <x:c r="T375" s="35" t="n">
        <x:v>9.5480875</x:v>
      </x:c>
      <x:c r="U375" s="35" t="n">
        <x:v>-13.6738976</x:v>
      </x:c>
      <x:c r="V375" s="33" t="str">
        <x:v>https://www.openstreetmap.org/node/5486298201</x:v>
      </x:c>
      <x:c r="W375" s="33" t="str">
        <x:v>node/5486298201</x:v>
      </x:c>
      <x:c r="X375" s="33" t="str">
        <x:v>review_required</x:v>
      </x:c>
      <x:c r="Y375" s="33" t="str">
        <x:v>laboratoire bio medical btg|conakry a verifier</x:v>
      </x:c>
      <x:c r="Z375" s="33" t="str">
        <x:v>224628557782</x:v>
      </x:c>
      <x:c r="AA375" s="33" t="str"/>
    </x:row>
    <x:row r="376">
      <x:c r="A376" s="30" t="str">
        <x:v>À vérifier</x:v>
      </x:c>
      <x:c r="B376" s="30" t="str"/>
      <x:c r="C376" s="31"/>
      <x:c r="D376" s="30" t="str">
        <x:v>Non vérifié</x:v>
      </x:c>
      <x:c r="E376" s="30" t="str"/>
      <x:c r="F376" s="30" t="str"/>
      <x:c r="G376" s="32" t="str"/>
      <x:c r="H376" s="33" t="str">
        <x:f>IF(I376&lt;&gt;"","Doublon possible","")</x:f>
      </x:c>
      <x:c r="I376" s="33" t="str">
        <x:f>IF(COUNTIFS($Y$9:$Y$678,Y376)&gt;1,"Nom + ville",IF(AND(Z376&lt;&gt;"",COUNTIFS($Z$9:$Z$678,Z376)&gt;1),"Téléphone",IF(AND(AA376&lt;&gt;"",COUNTIFS($AA$9:$AA$678,AA376)&gt;1),"Site web","")))</x:f>
      </x:c>
      <x:c r="J376" s="33" t="str">
        <x:v>Laboratoire d'analyses médicales Dr Yalani Touré</x:v>
      </x:c>
      <x:c r="K376" s="33" t="str">
        <x:v>Santé</x:v>
      </x:c>
      <x:c r="L376" s="33" t="str">
        <x:v>Laboratoires</x:v>
      </x:c>
      <x:c r="M376" s="33" t="str">
        <x:v>Conakry (à vérifier)</x:v>
      </x:c>
      <x:c r="N376" s="33" t="str"/>
      <x:c r="O376" s="33" t="str"/>
      <x:c r="P376" s="33" t="str">
        <x:v>664283805</x:v>
      </x:c>
      <x:c r="Q376" s="33" t="str"/>
      <x:c r="R376" s="33" t="str"/>
      <x:c r="S376" s="33" t="str"/>
      <x:c r="T376" s="35" t="n">
        <x:v>9.6417361</x:v>
      </x:c>
      <x:c r="U376" s="35" t="n">
        <x:v>-13.6119413</x:v>
      </x:c>
      <x:c r="V376" s="33" t="str">
        <x:v>https://www.openstreetmap.org/node/10248531429</x:v>
      </x:c>
      <x:c r="W376" s="33" t="str">
        <x:v>node/10248531429</x:v>
      </x:c>
      <x:c r="X376" s="33" t="str">
        <x:v>review_required</x:v>
      </x:c>
      <x:c r="Y376" s="33" t="str">
        <x:v>laboratoire d analyses medicales dr yalani toure|conakry a verifier</x:v>
      </x:c>
      <x:c r="Z376" s="33" t="str">
        <x:v>224664283805</x:v>
      </x:c>
      <x:c r="AA376" s="33" t="str"/>
    </x:row>
    <x:row r="377">
      <x:c r="A377" s="30" t="str">
        <x:v>À vérifier</x:v>
      </x:c>
      <x:c r="B377" s="30" t="str"/>
      <x:c r="C377" s="31"/>
      <x:c r="D377" s="30" t="str">
        <x:v>Non vérifié</x:v>
      </x:c>
      <x:c r="E377" s="30" t="str"/>
      <x:c r="F377" s="30" t="str"/>
      <x:c r="G377" s="32" t="str"/>
      <x:c r="H377" s="33" t="str">
        <x:f>IF(I377&lt;&gt;"","Doublon possible","")</x:f>
      </x:c>
      <x:c r="I377" s="33" t="str">
        <x:f>IF(COUNTIFS($Y$9:$Y$678,Y377)&gt;1,"Nom + ville",IF(AND(Z377&lt;&gt;"",COUNTIFS($Z$9:$Z$678,Z377)&gt;1),"Téléphone",IF(AND(AA377&lt;&gt;"",COUNTIFS($AA$9:$AA$678,AA377)&gt;1),"Site web","")))</x:f>
      </x:c>
      <x:c r="J377" s="33" t="str">
        <x:v>Laboratoire de biologie médicale</x:v>
      </x:c>
      <x:c r="K377" s="33" t="str">
        <x:v>Santé</x:v>
      </x:c>
      <x:c r="L377" s="33" t="str">
        <x:v>Laboratoires</x:v>
      </x:c>
      <x:c r="M377" s="33" t="str">
        <x:v>Conakry (à vérifier)</x:v>
      </x:c>
      <x:c r="N377" s="33" t="str"/>
      <x:c r="O377" s="33" t="str"/>
      <x:c r="P377" s="33" t="str">
        <x:v>+224621202002</x:v>
      </x:c>
      <x:c r="Q377" s="33" t="str"/>
      <x:c r="R377" s="33" t="str"/>
      <x:c r="S377" s="33" t="str"/>
      <x:c r="T377" s="35" t="n">
        <x:v>9.5655467</x:v>
      </x:c>
      <x:c r="U377" s="35" t="n">
        <x:v>-13.6620231</x:v>
      </x:c>
      <x:c r="V377" s="33" t="str">
        <x:v>https://www.openstreetmap.org/node/5550525114</x:v>
      </x:c>
      <x:c r="W377" s="33" t="str">
        <x:v>node/5550525114</x:v>
      </x:c>
      <x:c r="X377" s="33" t="str">
        <x:v>review_required</x:v>
      </x:c>
      <x:c r="Y377" s="33" t="str">
        <x:v>laboratoire de biologie medicale|conakry a verifier</x:v>
      </x:c>
      <x:c r="Z377" s="33" t="str">
        <x:v>224621202002</x:v>
      </x:c>
      <x:c r="AA377" s="33" t="str"/>
    </x:row>
    <x:row r="378">
      <x:c r="A378" s="30" t="str">
        <x:v>À vérifier</x:v>
      </x:c>
      <x:c r="B378" s="30" t="str"/>
      <x:c r="C378" s="31"/>
      <x:c r="D378" s="30" t="str">
        <x:v>Non vérifié</x:v>
      </x:c>
      <x:c r="E378" s="30" t="str"/>
      <x:c r="F378" s="30" t="str"/>
      <x:c r="G378" s="32" t="str"/>
      <x:c r="H378" s="33" t="str">
        <x:f>IF(I378&lt;&gt;"","Doublon possible","")</x:f>
      </x:c>
      <x:c r="I378" s="33" t="str">
        <x:f>IF(COUNTIFS($Y$9:$Y$678,Y378)&gt;1,"Nom + ville",IF(AND(Z378&lt;&gt;"",COUNTIFS($Z$9:$Z$678,Z378)&gt;1),"Téléphone",IF(AND(AA378&lt;&gt;"",COUNTIFS($AA$9:$AA$678,AA378)&gt;1),"Site web","")))</x:f>
      </x:c>
      <x:c r="J378" s="33" t="str">
        <x:v>Laboratoire dentaire James Fritz Foster</x:v>
      </x:c>
      <x:c r="K378" s="33" t="str">
        <x:v>Santé</x:v>
      </x:c>
      <x:c r="L378" s="33" t="str">
        <x:v>Cliniques</x:v>
      </x:c>
      <x:c r="M378" s="33" t="str">
        <x:v>Conakry (à vérifier)</x:v>
      </x:c>
      <x:c r="N378" s="33" t="str"/>
      <x:c r="O378" s="33" t="str"/>
      <x:c r="P378" s="33" t="str">
        <x:v>628176538</x:v>
      </x:c>
      <x:c r="Q378" s="33" t="str"/>
      <x:c r="R378" s="33" t="str"/>
      <x:c r="S378" s="33" t="str"/>
      <x:c r="T378" s="35" t="n">
        <x:v>9.5881675</x:v>
      </x:c>
      <x:c r="U378" s="35" t="n">
        <x:v>-13.6310557</x:v>
      </x:c>
      <x:c r="V378" s="33" t="str">
        <x:v>https://www.openstreetmap.org/node/7656860832</x:v>
      </x:c>
      <x:c r="W378" s="33" t="str">
        <x:v>node/7656860832</x:v>
      </x:c>
      <x:c r="X378" s="33" t="str">
        <x:v>review_required</x:v>
      </x:c>
      <x:c r="Y378" s="33" t="str">
        <x:v>laboratoire dentaire james fritz foster|conakry a verifier</x:v>
      </x:c>
      <x:c r="Z378" s="33" t="str">
        <x:v>224628176538</x:v>
      </x:c>
      <x:c r="AA378" s="33" t="str"/>
    </x:row>
    <x:row r="379">
      <x:c r="A379" s="30" t="str">
        <x:v>À vérifier</x:v>
      </x:c>
      <x:c r="B379" s="30" t="str"/>
      <x:c r="C379" s="31"/>
      <x:c r="D379" s="30" t="str">
        <x:v>Non vérifié</x:v>
      </x:c>
      <x:c r="E379" s="30" t="str"/>
      <x:c r="F379" s="30" t="str"/>
      <x:c r="G379" s="32" t="str"/>
      <x:c r="H379" s="33" t="str">
        <x:f>IF(I379&lt;&gt;"","Doublon possible","")</x:f>
      </x:c>
      <x:c r="I379" s="33" t="str">
        <x:f>IF(COUNTIFS($Y$9:$Y$678,Y379)&gt;1,"Nom + ville",IF(AND(Z379&lt;&gt;"",COUNTIFS($Z$9:$Z$678,Z379)&gt;1),"Téléphone",IF(AND(AA379&lt;&gt;"",COUNTIFS($AA$9:$AA$678,AA379)&gt;1),"Site web","")))</x:f>
      </x:c>
      <x:c r="J379" s="33" t="str">
        <x:v>Laboratoire Médical Guinéo-Allemand</x:v>
      </x:c>
      <x:c r="K379" s="33" t="str">
        <x:v>Santé</x:v>
      </x:c>
      <x:c r="L379" s="33" t="str">
        <x:v>Laboratoires</x:v>
      </x:c>
      <x:c r="M379" s="33" t="str">
        <x:v>Conakry (à vérifier)</x:v>
      </x:c>
      <x:c r="N379" s="33" t="str"/>
      <x:c r="O379" s="33" t="str"/>
      <x:c r="P379" s="33" t="str">
        <x:v>+224655082011</x:v>
      </x:c>
      <x:c r="Q379" s="33" t="str">
        <x:v>info@lga-guinee.com</x:v>
      </x:c>
      <x:c r="R379" s="33" t="str">
        <x:v>https://www.lga-guinee.com/</x:v>
      </x:c>
      <x:c r="S379" s="33" t="str"/>
      <x:c r="T379" s="35" t="n">
        <x:v>9.5480348</x:v>
      </x:c>
      <x:c r="U379" s="35" t="n">
        <x:v>-13.6786237</x:v>
      </x:c>
      <x:c r="V379" s="33" t="str">
        <x:v>https://www.openstreetmap.org/node/5481200236</x:v>
      </x:c>
      <x:c r="W379" s="33" t="str">
        <x:v>node/5481200236</x:v>
      </x:c>
      <x:c r="X379" s="33" t="str">
        <x:v>review_required</x:v>
      </x:c>
      <x:c r="Y379" s="33" t="str">
        <x:v>laboratoire medical guineo allemand|conakry a verifier</x:v>
      </x:c>
      <x:c r="Z379" s="33" t="str">
        <x:v>224655082011</x:v>
      </x:c>
      <x:c r="AA379" s="33" t="str">
        <x:v>lga-guinee.com</x:v>
      </x:c>
    </x:row>
    <x:row r="380">
      <x:c r="A380" s="30" t="str">
        <x:v>À vérifier</x:v>
      </x:c>
      <x:c r="B380" s="30" t="str"/>
      <x:c r="C380" s="31"/>
      <x:c r="D380" s="30" t="str">
        <x:v>Non vérifié</x:v>
      </x:c>
      <x:c r="E380" s="30" t="str"/>
      <x:c r="F380" s="30" t="str"/>
      <x:c r="G380" s="32" t="str"/>
      <x:c r="H380" s="33" t="str">
        <x:f>IF(I380&lt;&gt;"","Doublon possible","")</x:f>
      </x:c>
      <x:c r="I380" s="33" t="str">
        <x:f>IF(COUNTIFS($Y$9:$Y$678,Y380)&gt;1,"Nom + ville",IF(AND(Z380&lt;&gt;"",COUNTIFS($Z$9:$Z$678,Z380)&gt;1),"Téléphone",IF(AND(AA380&lt;&gt;"",COUNTIFS($AA$9:$AA$678,AA380)&gt;1),"Site web","")))</x:f>
      </x:c>
      <x:c r="J380" s="33" t="str">
        <x:v>Labpro pharma LLC</x:v>
      </x:c>
      <x:c r="K380" s="33" t="str">
        <x:v>Santé</x:v>
      </x:c>
      <x:c r="L380" s="33" t="str">
        <x:v>Pharmacies</x:v>
      </x:c>
      <x:c r="M380" s="33" t="str">
        <x:v>Conakry (à vérifier)</x:v>
      </x:c>
      <x:c r="N380" s="33" t="str"/>
      <x:c r="O380" s="33" t="str"/>
      <x:c r="P380" s="33" t="str">
        <x:v>+224623137171</x:v>
      </x:c>
      <x:c r="Q380" s="33" t="str">
        <x:v>guinea@Labpropharma.com</x:v>
      </x:c>
      <x:c r="R380" s="33" t="str">
        <x:v>www.Labpropharma.com</x:v>
      </x:c>
      <x:c r="S380" s="33" t="str"/>
      <x:c r="T380" s="35" t="n">
        <x:v>9.5273267</x:v>
      </x:c>
      <x:c r="U380" s="35" t="n">
        <x:v>-13.6826939</x:v>
      </x:c>
      <x:c r="V380" s="33" t="str">
        <x:v>https://www.openstreetmap.org/node/5922246057</x:v>
      </x:c>
      <x:c r="W380" s="33" t="str">
        <x:v>node/5922246057</x:v>
      </x:c>
      <x:c r="X380" s="33" t="str">
        <x:v>review_required</x:v>
      </x:c>
      <x:c r="Y380" s="33" t="str">
        <x:v>labpro pharma llc|conakry a verifier</x:v>
      </x:c>
      <x:c r="Z380" s="33" t="str">
        <x:v>224623137171</x:v>
      </x:c>
      <x:c r="AA380" s="33" t="str">
        <x:v>labpropharma.com</x:v>
      </x:c>
    </x:row>
    <x:row r="381">
      <x:c r="A381" s="30" t="str">
        <x:v>À vérifier</x:v>
      </x:c>
      <x:c r="B381" s="30" t="str"/>
      <x:c r="C381" s="31"/>
      <x:c r="D381" s="30" t="str">
        <x:v>Non vérifié</x:v>
      </x:c>
      <x:c r="E381" s="30" t="str"/>
      <x:c r="F381" s="30" t="str"/>
      <x:c r="G381" s="32" t="str"/>
      <x:c r="H381" s="33" t="str">
        <x:f>IF(I381&lt;&gt;"","Doublon possible","")</x:f>
      </x:c>
      <x:c r="I381" s="33" t="str">
        <x:f>IF(COUNTIFS($Y$9:$Y$678,Y381)&gt;1,"Nom + ville",IF(AND(Z381&lt;&gt;"",COUNTIFS($Z$9:$Z$678,Z381)&gt;1),"Téléphone",IF(AND(AA381&lt;&gt;"",COUNTIFS($AA$9:$AA$678,AA381)&gt;1),"Site web","")))</x:f>
      </x:c>
      <x:c r="J381" s="33" t="str">
        <x:v>NENE FAZI</x:v>
      </x:c>
      <x:c r="K381" s="33" t="str">
        <x:v>Santé</x:v>
      </x:c>
      <x:c r="L381" s="33" t="str">
        <x:v>Pharmacies</x:v>
      </x:c>
      <x:c r="M381" s="33" t="str">
        <x:v>Conakry (à vérifier)</x:v>
      </x:c>
      <x:c r="N381" s="33" t="str"/>
      <x:c r="O381" s="33" t="str"/>
      <x:c r="P381" s="33" t="str">
        <x:v>662052612/620878768</x:v>
      </x:c>
      <x:c r="Q381" s="33" t="str"/>
      <x:c r="R381" s="33" t="str"/>
      <x:c r="S381" s="33" t="str"/>
      <x:c r="T381" s="35" t="n">
        <x:v>9.6629277</x:v>
      </x:c>
      <x:c r="U381" s="35" t="n">
        <x:v>-13.5640827</x:v>
      </x:c>
      <x:c r="V381" s="33" t="str">
        <x:v>https://www.openstreetmap.org/node/11077012396</x:v>
      </x:c>
      <x:c r="W381" s="33" t="str">
        <x:v>node/11077012396</x:v>
      </x:c>
      <x:c r="X381" s="33" t="str">
        <x:v>review_required</x:v>
      </x:c>
      <x:c r="Y381" s="33" t="str">
        <x:v>nene fazi|conakry a verifier</x:v>
      </x:c>
      <x:c r="Z381" s="33" t="str">
        <x:v>662052612620878768</x:v>
      </x:c>
      <x:c r="AA381" s="33" t="str"/>
    </x:row>
    <x:row r="382">
      <x:c r="A382" s="30" t="str">
        <x:v>À vérifier</x:v>
      </x:c>
      <x:c r="B382" s="30" t="str"/>
      <x:c r="C382" s="31"/>
      <x:c r="D382" s="30" t="str">
        <x:v>Non vérifié</x:v>
      </x:c>
      <x:c r="E382" s="30" t="str"/>
      <x:c r="F382" s="30" t="str"/>
      <x:c r="G382" s="32" t="str"/>
      <x:c r="H382" s="33" t="str">
        <x:f>IF(I382&lt;&gt;"","Doublon possible","")</x:f>
      </x:c>
      <x:c r="I382" s="33" t="str">
        <x:f>IF(COUNTIFS($Y$9:$Y$678,Y382)&gt;1,"Nom + ville",IF(AND(Z382&lt;&gt;"",COUNTIFS($Z$9:$Z$678,Z382)&gt;1),"Téléphone",IF(AND(AA382&lt;&gt;"",COUNTIFS($AA$9:$AA$678,AA382)&gt;1),"Site web","")))</x:f>
      </x:c>
      <x:c r="J382" s="33" t="str">
        <x:v>ONG Games</x:v>
      </x:c>
      <x:c r="K382" s="33" t="str">
        <x:v>Santé</x:v>
      </x:c>
      <x:c r="L382" s="33" t="str">
        <x:v>Cliniques</x:v>
      </x:c>
      <x:c r="M382" s="33" t="str">
        <x:v>Conakry (à vérifier)</x:v>
      </x:c>
      <x:c r="N382" s="33" t="str"/>
      <x:c r="O382" s="33" t="str"/>
      <x:c r="P382" s="33" t="str">
        <x:v>+224621684645</x:v>
      </x:c>
      <x:c r="Q382" s="33" t="str"/>
      <x:c r="R382" s="33" t="str"/>
      <x:c r="S382" s="33" t="str"/>
      <x:c r="T382" s="35" t="n">
        <x:v>9.55773</x:v>
      </x:c>
      <x:c r="U382" s="35" t="n">
        <x:v>-13.6447787</x:v>
      </x:c>
      <x:c r="V382" s="33" t="str">
        <x:v>https://www.openstreetmap.org/node/5939266991</x:v>
      </x:c>
      <x:c r="W382" s="33" t="str">
        <x:v>node/5939266991</x:v>
      </x:c>
      <x:c r="X382" s="33" t="str">
        <x:v>review_required</x:v>
      </x:c>
      <x:c r="Y382" s="33" t="str">
        <x:v>ong games|conakry a verifier</x:v>
      </x:c>
      <x:c r="Z382" s="33" t="str">
        <x:v>224621684645</x:v>
      </x:c>
      <x:c r="AA382" s="33" t="str"/>
    </x:row>
    <x:row r="383">
      <x:c r="A383" s="30" t="str">
        <x:v>À vérifier</x:v>
      </x:c>
      <x:c r="B383" s="30" t="str"/>
      <x:c r="C383" s="31"/>
      <x:c r="D383" s="30" t="str">
        <x:v>Non vérifié</x:v>
      </x:c>
      <x:c r="E383" s="30" t="str"/>
      <x:c r="F383" s="30" t="str"/>
      <x:c r="G383" s="32" t="str"/>
      <x:c r="H383" s="33" t="str">
        <x:f>IF(I383&lt;&gt;"","Doublon possible","")</x:f>
      </x:c>
      <x:c r="I383" s="33" t="str">
        <x:f>IF(COUNTIFS($Y$9:$Y$678,Y383)&gt;1,"Nom + ville",IF(AND(Z383&lt;&gt;"",COUNTIFS($Z$9:$Z$678,Z383)&gt;1),"Téléphone",IF(AND(AA383&lt;&gt;"",COUNTIFS($AA$9:$AA$678,AA383)&gt;1),"Site web","")))</x:f>
      </x:c>
      <x:c r="J383" s="33" t="str">
        <x:v>ONG Guinée Aide Solidarité (GAS)</x:v>
      </x:c>
      <x:c r="K383" s="33" t="str">
        <x:v>Santé</x:v>
      </x:c>
      <x:c r="L383" s="33" t="str">
        <x:v>Cliniques</x:v>
      </x:c>
      <x:c r="M383" s="33" t="str">
        <x:v>Conakry (à vérifier)</x:v>
      </x:c>
      <x:c r="N383" s="33" t="str"/>
      <x:c r="O383" s="33" t="str"/>
      <x:c r="P383" s="33" t="str">
        <x:v>+224666096886</x:v>
      </x:c>
      <x:c r="Q383" s="33" t="str"/>
      <x:c r="R383" s="33" t="str"/>
      <x:c r="S383" s="33" t="str"/>
      <x:c r="T383" s="35" t="n">
        <x:v>9.6767711</x:v>
      </x:c>
      <x:c r="U383" s="35" t="n">
        <x:v>-13.5482722</x:v>
      </x:c>
      <x:c r="V383" s="33" t="str">
        <x:v>https://www.openstreetmap.org/node/6027921361</x:v>
      </x:c>
      <x:c r="W383" s="33" t="str">
        <x:v>node/6027921361</x:v>
      </x:c>
      <x:c r="X383" s="33" t="str">
        <x:v>review_required</x:v>
      </x:c>
      <x:c r="Y383" s="33" t="str">
        <x:v>ong guinee aide solidarite gas|conakry a verifier</x:v>
      </x:c>
      <x:c r="Z383" s="33" t="str">
        <x:v>224666096886</x:v>
      </x:c>
      <x:c r="AA383" s="33" t="str"/>
    </x:row>
    <x:row r="384">
      <x:c r="A384" s="30" t="str">
        <x:v>À vérifier</x:v>
      </x:c>
      <x:c r="B384" s="30" t="str"/>
      <x:c r="C384" s="31"/>
      <x:c r="D384" s="30" t="str">
        <x:v>Non vérifié</x:v>
      </x:c>
      <x:c r="E384" s="30" t="str"/>
      <x:c r="F384" s="30" t="str"/>
      <x:c r="G384" s="32" t="str"/>
      <x:c r="H384" s="33" t="str">
        <x:f>IF(I384&lt;&gt;"","Doublon possible","")</x:f>
      </x:c>
      <x:c r="I384" s="33" t="str">
        <x:f>IF(COUNTIFS($Y$9:$Y$678,Y384)&gt;1,"Nom + ville",IF(AND(Z384&lt;&gt;"",COUNTIFS($Z$9:$Z$678,Z384)&gt;1),"Téléphone",IF(AND(AA384&lt;&gt;"",COUNTIFS($AA$9:$AA$678,AA384)&gt;1),"Site web","")))</x:f>
      </x:c>
      <x:c r="J384" s="33" t="str">
        <x:v>ONG médical La miséricorde du Samaritain</x:v>
      </x:c>
      <x:c r="K384" s="33" t="str">
        <x:v>Santé</x:v>
      </x:c>
      <x:c r="L384" s="33" t="str">
        <x:v>Cliniques</x:v>
      </x:c>
      <x:c r="M384" s="33" t="str">
        <x:v>Conakry (à vérifier)</x:v>
      </x:c>
      <x:c r="N384" s="33" t="str"/>
      <x:c r="O384" s="33" t="str"/>
      <x:c r="P384" s="33" t="str">
        <x:v>+224664442854</x:v>
      </x:c>
      <x:c r="Q384" s="33" t="str"/>
      <x:c r="R384" s="33" t="str"/>
      <x:c r="S384" s="33" t="str"/>
      <x:c r="T384" s="35" t="n">
        <x:v>9.6662445</x:v>
      </x:c>
      <x:c r="U384" s="35" t="n">
        <x:v>-13.5316814</x:v>
      </x:c>
      <x:c r="V384" s="33" t="str">
        <x:v>https://www.openstreetmap.org/node/5994148410</x:v>
      </x:c>
      <x:c r="W384" s="33" t="str">
        <x:v>node/5994148410</x:v>
      </x:c>
      <x:c r="X384" s="33" t="str">
        <x:v>review_required</x:v>
      </x:c>
      <x:c r="Y384" s="33" t="str">
        <x:v>ong medical la misericorde du samaritain|conakry a verifier</x:v>
      </x:c>
      <x:c r="Z384" s="33" t="str">
        <x:v>224664442854</x:v>
      </x:c>
      <x:c r="AA384" s="33" t="str"/>
    </x:row>
    <x:row r="385">
      <x:c r="A385" s="30" t="str">
        <x:v>À vérifier</x:v>
      </x:c>
      <x:c r="B385" s="30" t="str"/>
      <x:c r="C385" s="31"/>
      <x:c r="D385" s="30" t="str">
        <x:v>Non vérifié</x:v>
      </x:c>
      <x:c r="E385" s="30" t="str"/>
      <x:c r="F385" s="30" t="str"/>
      <x:c r="G385" s="32" t="str"/>
      <x:c r="H385" s="33" t="str">
        <x:f>IF(I385&lt;&gt;"","Doublon possible","")</x:f>
      </x:c>
      <x:c r="I385" s="33" t="str">
        <x:f>IF(COUNTIFS($Y$9:$Y$678,Y385)&gt;1,"Nom + ville",IF(AND(Z385&lt;&gt;"",COUNTIFS($Z$9:$Z$678,Z385)&gt;1),"Téléphone",IF(AND(AA385&lt;&gt;"",COUNTIFS($AA$9:$AA$678,AA385)&gt;1),"Site web","")))</x:f>
      </x:c>
      <x:c r="J385" s="33" t="str">
        <x:v>ONG médicale pour la solidarité et le développement</x:v>
      </x:c>
      <x:c r="K385" s="33" t="str">
        <x:v>Santé</x:v>
      </x:c>
      <x:c r="L385" s="33" t="str">
        <x:v>Cliniques</x:v>
      </x:c>
      <x:c r="M385" s="33" t="str">
        <x:v>Conakry (à vérifier)</x:v>
      </x:c>
      <x:c r="N385" s="33" t="str"/>
      <x:c r="O385" s="33" t="str"/>
      <x:c r="P385" s="33" t="str">
        <x:v>+224624015448</x:v>
      </x:c>
      <x:c r="Q385" s="33" t="str"/>
      <x:c r="R385" s="33" t="str"/>
      <x:c r="S385" s="33" t="str"/>
      <x:c r="T385" s="35" t="n">
        <x:v>9.6755255</x:v>
      </x:c>
      <x:c r="U385" s="35" t="n">
        <x:v>-13.5607349</x:v>
      </x:c>
      <x:c r="V385" s="33" t="str">
        <x:v>https://www.openstreetmap.org/node/6034717241</x:v>
      </x:c>
      <x:c r="W385" s="33" t="str">
        <x:v>node/6034717241</x:v>
      </x:c>
      <x:c r="X385" s="33" t="str">
        <x:v>review_required</x:v>
      </x:c>
      <x:c r="Y385" s="33" t="str">
        <x:v>ong medicale pour la solidarite et le developpement|conakry a verifier</x:v>
      </x:c>
      <x:c r="Z385" s="33" t="str">
        <x:v>224624015448</x:v>
      </x:c>
      <x:c r="AA385" s="33" t="str"/>
    </x:row>
    <x:row r="386">
      <x:c r="A386" s="30" t="str">
        <x:v>À vérifier</x:v>
      </x:c>
      <x:c r="B386" s="30" t="str"/>
      <x:c r="C386" s="31"/>
      <x:c r="D386" s="30" t="str">
        <x:v>Non vérifié</x:v>
      </x:c>
      <x:c r="E386" s="30" t="str"/>
      <x:c r="F386" s="30" t="str"/>
      <x:c r="G386" s="32" t="str"/>
      <x:c r="H386" s="33" t="str">
        <x:f>IF(I386&lt;&gt;"","Doublon possible","")</x:f>
      </x:c>
      <x:c r="I386" s="33" t="str">
        <x:f>IF(COUNTIFS($Y$9:$Y$678,Y386)&gt;1,"Nom + ville",IF(AND(Z386&lt;&gt;"",COUNTIFS($Z$9:$Z$678,Z386)&gt;1),"Téléphone",IF(AND(AA386&lt;&gt;"",COUNTIFS($AA$9:$AA$678,AA386)&gt;1),"Site web","")))</x:f>
      </x:c>
      <x:c r="J386" s="33" t="str">
        <x:v>ONG Médicale Santé pour Tous</x:v>
      </x:c>
      <x:c r="K386" s="33" t="str">
        <x:v>Santé</x:v>
      </x:c>
      <x:c r="L386" s="33" t="str">
        <x:v>Cliniques</x:v>
      </x:c>
      <x:c r="M386" s="33" t="str">
        <x:v>Conakry (à vérifier)</x:v>
      </x:c>
      <x:c r="N386" s="33" t="str"/>
      <x:c r="O386" s="33" t="str"/>
      <x:c r="P386" s="33" t="str">
        <x:v>666942358</x:v>
      </x:c>
      <x:c r="Q386" s="33" t="str"/>
      <x:c r="R386" s="33" t="str"/>
      <x:c r="S386" s="33" t="str"/>
      <x:c r="T386" s="35" t="n">
        <x:v>9.6228355</x:v>
      </x:c>
      <x:c r="U386" s="35" t="n">
        <x:v>-13.5892901</x:v>
      </x:c>
      <x:c r="V386" s="33" t="str">
        <x:v>https://www.openstreetmap.org/node/5501837555</x:v>
      </x:c>
      <x:c r="W386" s="33" t="str">
        <x:v>node/5501837555</x:v>
      </x:c>
      <x:c r="X386" s="33" t="str">
        <x:v>review_required</x:v>
      </x:c>
      <x:c r="Y386" s="33" t="str">
        <x:v>ong medicale sante pour tous|conakry a verifier</x:v>
      </x:c>
      <x:c r="Z386" s="33" t="str">
        <x:v>224666942358</x:v>
      </x:c>
      <x:c r="AA386" s="33" t="str"/>
    </x:row>
    <x:row r="387">
      <x:c r="A387" s="30" t="str">
        <x:v>À vérifier</x:v>
      </x:c>
      <x:c r="B387" s="30" t="str"/>
      <x:c r="C387" s="31"/>
      <x:c r="D387" s="30" t="str">
        <x:v>Non vérifié</x:v>
      </x:c>
      <x:c r="E387" s="30" t="str"/>
      <x:c r="F387" s="30" t="str"/>
      <x:c r="G387" s="32" t="str"/>
      <x:c r="H387" s="33" t="str">
        <x:f>IF(I387&lt;&gt;"","Doublon possible","")</x:f>
      </x:c>
      <x:c r="I387" s="33" t="str">
        <x:f>IF(COUNTIFS($Y$9:$Y$678,Y387)&gt;1,"Nom + ville",IF(AND(Z387&lt;&gt;"",COUNTIFS($Z$9:$Z$678,Z387)&gt;1),"Téléphone",IF(AND(AA387&lt;&gt;"",COUNTIFS($AA$9:$AA$678,AA387)&gt;1),"Site web","")))</x:f>
      </x:c>
      <x:c r="J387" s="33" t="str">
        <x:v>Phamarcie Amar</x:v>
      </x:c>
      <x:c r="K387" s="33" t="str">
        <x:v>Santé</x:v>
      </x:c>
      <x:c r="L387" s="33" t="str">
        <x:v>Pharmacies</x:v>
      </x:c>
      <x:c r="M387" s="33" t="str">
        <x:v>Conakry (à vérifier)</x:v>
      </x:c>
      <x:c r="N387" s="33" t="str"/>
      <x:c r="O387" s="33" t="str"/>
      <x:c r="P387" s="33" t="str">
        <x:v>+224657895789</x:v>
      </x:c>
      <x:c r="Q387" s="33" t="str"/>
      <x:c r="R387" s="33" t="str"/>
      <x:c r="S387" s="33" t="str"/>
      <x:c r="T387" s="35" t="n">
        <x:v>9.5090607</x:v>
      </x:c>
      <x:c r="U387" s="35" t="n">
        <x:v>-13.7071572</x:v>
      </x:c>
      <x:c r="V387" s="33" t="str">
        <x:v>https://www.openstreetmap.org/node/4919105521</x:v>
      </x:c>
      <x:c r="W387" s="33" t="str">
        <x:v>node/4919105521</x:v>
      </x:c>
      <x:c r="X387" s="33" t="str">
        <x:v>review_required</x:v>
      </x:c>
      <x:c r="Y387" s="33" t="str">
        <x:v>phamarcie amar|conakry a verifier</x:v>
      </x:c>
      <x:c r="Z387" s="33" t="str">
        <x:v>224657895789</x:v>
      </x:c>
      <x:c r="AA387" s="33" t="str"/>
    </x:row>
    <x:row r="388">
      <x:c r="A388" s="30" t="str">
        <x:v>À vérifier</x:v>
      </x:c>
      <x:c r="B388" s="30" t="str"/>
      <x:c r="C388" s="31"/>
      <x:c r="D388" s="30" t="str">
        <x:v>Non vérifié</x:v>
      </x:c>
      <x:c r="E388" s="30" t="str"/>
      <x:c r="F388" s="30" t="str"/>
      <x:c r="G388" s="32" t="str"/>
      <x:c r="H388" s="33" t="str">
        <x:f>IF(I388&lt;&gt;"","Doublon possible","")</x:f>
      </x:c>
      <x:c r="I388" s="33" t="str">
        <x:f>IF(COUNTIFS($Y$9:$Y$678,Y388)&gt;1,"Nom + ville",IF(AND(Z388&lt;&gt;"",COUNTIFS($Z$9:$Z$678,Z388)&gt;1),"Téléphone",IF(AND(AA388&lt;&gt;"",COUNTIFS($AA$9:$AA$678,AA388)&gt;1),"Site web","")))</x:f>
      </x:c>
      <x:c r="J388" s="33" t="str">
        <x:v>Pharmacie Abdallah</x:v>
      </x:c>
      <x:c r="K388" s="33" t="str">
        <x:v>Santé</x:v>
      </x:c>
      <x:c r="L388" s="33" t="str">
        <x:v>Pharmacies</x:v>
      </x:c>
      <x:c r="M388" s="33" t="str">
        <x:v>Conakry (à vérifier)</x:v>
      </x:c>
      <x:c r="N388" s="33" t="str"/>
      <x:c r="O388" s="33" t="str"/>
      <x:c r="P388" s="33" t="str">
        <x:v>+224622527746</x:v>
      </x:c>
      <x:c r="Q388" s="33" t="str"/>
      <x:c r="R388" s="33" t="str"/>
      <x:c r="S388" s="33" t="str"/>
      <x:c r="T388" s="35" t="n">
        <x:v>9.6369172</x:v>
      </x:c>
      <x:c r="U388" s="35" t="n">
        <x:v>-13.5746952</x:v>
      </x:c>
      <x:c r="V388" s="33" t="str">
        <x:v>https://www.openstreetmap.org/node/6072823066</x:v>
      </x:c>
      <x:c r="W388" s="33" t="str">
        <x:v>node/6072823066</x:v>
      </x:c>
      <x:c r="X388" s="33" t="str">
        <x:v>review_required</x:v>
      </x:c>
      <x:c r="Y388" s="33" t="str">
        <x:v>pharmacie abdallah|conakry a verifier</x:v>
      </x:c>
      <x:c r="Z388" s="33" t="str">
        <x:v>224622527746</x:v>
      </x:c>
      <x:c r="AA388" s="33" t="str"/>
    </x:row>
    <x:row r="389">
      <x:c r="A389" s="30" t="str">
        <x:v>À vérifier</x:v>
      </x:c>
      <x:c r="B389" s="30" t="str"/>
      <x:c r="C389" s="31"/>
      <x:c r="D389" s="30" t="str">
        <x:v>Non vérifié</x:v>
      </x:c>
      <x:c r="E389" s="30" t="str"/>
      <x:c r="F389" s="30" t="str"/>
      <x:c r="G389" s="32" t="str"/>
      <x:c r="H389" s="33" t="str">
        <x:f>IF(I389&lt;&gt;"","Doublon possible","")</x:f>
      </x:c>
      <x:c r="I389" s="33" t="str">
        <x:f>IF(COUNTIFS($Y$9:$Y$678,Y389)&gt;1,"Nom + ville",IF(AND(Z389&lt;&gt;"",COUNTIFS($Z$9:$Z$678,Z389)&gt;1),"Téléphone",IF(AND(AA389&lt;&gt;"",COUNTIFS($AA$9:$AA$678,AA389)&gt;1),"Site web","")))</x:f>
      </x:c>
      <x:c r="J389" s="33" t="str">
        <x:v>pharmacie Afia</x:v>
      </x:c>
      <x:c r="K389" s="33" t="str">
        <x:v>Santé</x:v>
      </x:c>
      <x:c r="L389" s="33" t="str">
        <x:v>Pharmacies</x:v>
      </x:c>
      <x:c r="M389" s="33" t="str">
        <x:v>Conakry (à vérifier)</x:v>
      </x:c>
      <x:c r="N389" s="33" t="str"/>
      <x:c r="O389" s="33" t="str"/>
      <x:c r="P389" s="33" t="str">
        <x:v>623532630</x:v>
      </x:c>
      <x:c r="Q389" s="33" t="str"/>
      <x:c r="R389" s="33" t="str"/>
      <x:c r="S389" s="33" t="str"/>
      <x:c r="T389" s="35" t="n">
        <x:v>9.6038906</x:v>
      </x:c>
      <x:c r="U389" s="35" t="n">
        <x:v>-13.6421958</x:v>
      </x:c>
      <x:c r="V389" s="33" t="str">
        <x:v>https://www.openstreetmap.org/node/5528602729</x:v>
      </x:c>
      <x:c r="W389" s="33" t="str">
        <x:v>node/5528602729</x:v>
      </x:c>
      <x:c r="X389" s="33" t="str">
        <x:v>review_required</x:v>
      </x:c>
      <x:c r="Y389" s="33" t="str">
        <x:v>pharmacie afia|conakry a verifier</x:v>
      </x:c>
      <x:c r="Z389" s="33" t="str">
        <x:v>224623532630</x:v>
      </x:c>
      <x:c r="AA389" s="33" t="str"/>
    </x:row>
    <x:row r="390">
      <x:c r="A390" s="30" t="str">
        <x:v>À vérifier</x:v>
      </x:c>
      <x:c r="B390" s="30" t="str"/>
      <x:c r="C390" s="31"/>
      <x:c r="D390" s="30" t="str">
        <x:v>Non vérifié</x:v>
      </x:c>
      <x:c r="E390" s="30" t="str"/>
      <x:c r="F390" s="30" t="str"/>
      <x:c r="G390" s="32" t="str"/>
      <x:c r="H390" s="33" t="str">
        <x:f>IF(I390&lt;&gt;"","Doublon possible","")</x:f>
      </x:c>
      <x:c r="I390" s="33" t="str">
        <x:f>IF(COUNTIFS($Y$9:$Y$678,Y390)&gt;1,"Nom + ville",IF(AND(Z390&lt;&gt;"",COUNTIFS($Z$9:$Z$678,Z390)&gt;1),"Téléphone",IF(AND(AA390&lt;&gt;"",COUNTIFS($AA$9:$AA$678,AA390)&gt;1),"Site web","")))</x:f>
      </x:c>
      <x:c r="J390" s="33" t="str">
        <x:v>Pharmacie Aissatou Dalanda</x:v>
      </x:c>
      <x:c r="K390" s="33" t="str">
        <x:v>Santé</x:v>
      </x:c>
      <x:c r="L390" s="33" t="str">
        <x:v>Pharmacies</x:v>
      </x:c>
      <x:c r="M390" s="33" t="str">
        <x:v>Conakry (à vérifier)</x:v>
      </x:c>
      <x:c r="N390" s="33" t="str"/>
      <x:c r="O390" s="33" t="str"/>
      <x:c r="P390" s="33" t="str">
        <x:v>+224622665956</x:v>
      </x:c>
      <x:c r="Q390" s="33" t="str">
        <x:v>pharmacieaissatoudalanda@gmail.com</x:v>
      </x:c>
      <x:c r="R390" s="33" t="str"/>
      <x:c r="S390" s="33" t="str"/>
      <x:c r="T390" s="35" t="n">
        <x:v>9.6229097</x:v>
      </x:c>
      <x:c r="U390" s="35" t="n">
        <x:v>-13.59816</x:v>
      </x:c>
      <x:c r="V390" s="33" t="str">
        <x:v>https://www.openstreetmap.org/node/5522081612</x:v>
      </x:c>
      <x:c r="W390" s="33" t="str">
        <x:v>node/5522081612</x:v>
      </x:c>
      <x:c r="X390" s="33" t="str">
        <x:v>review_required</x:v>
      </x:c>
      <x:c r="Y390" s="33" t="str">
        <x:v>pharmacie aissatou dalanda|conakry a verifier</x:v>
      </x:c>
      <x:c r="Z390" s="33" t="str">
        <x:v>224622665956</x:v>
      </x:c>
      <x:c r="AA390" s="33" t="str"/>
    </x:row>
    <x:row r="391">
      <x:c r="A391" s="30" t="str">
        <x:v>À vérifier</x:v>
      </x:c>
      <x:c r="B391" s="30" t="str"/>
      <x:c r="C391" s="31"/>
      <x:c r="D391" s="30" t="str">
        <x:v>Non vérifié</x:v>
      </x:c>
      <x:c r="E391" s="30" t="str"/>
      <x:c r="F391" s="30" t="str"/>
      <x:c r="G391" s="32" t="str"/>
      <x:c r="H391" s="33" t="str">
        <x:f>IF(I391&lt;&gt;"","Doublon possible","")</x:f>
      </x:c>
      <x:c r="I391" s="33" t="str">
        <x:f>IF(COUNTIFS($Y$9:$Y$678,Y391)&gt;1,"Nom + ville",IF(AND(Z391&lt;&gt;"",COUNTIFS($Z$9:$Z$678,Z391)&gt;1),"Téléphone",IF(AND(AA391&lt;&gt;"",COUNTIFS($AA$9:$AA$678,AA391)&gt;1),"Site web","")))</x:f>
      </x:c>
      <x:c r="J391" s="33" t="str">
        <x:v>Pharmacie Alhamdou</x:v>
      </x:c>
      <x:c r="K391" s="33" t="str">
        <x:v>Santé</x:v>
      </x:c>
      <x:c r="L391" s="33" t="str">
        <x:v>Pharmacies</x:v>
      </x:c>
      <x:c r="M391" s="33" t="str">
        <x:v>Conakry (à vérifier)</x:v>
      </x:c>
      <x:c r="N391" s="33" t="str"/>
      <x:c r="O391" s="33" t="str"/>
      <x:c r="P391" s="33" t="str">
        <x:v>+224628701398</x:v>
      </x:c>
      <x:c r="Q391" s="33" t="str"/>
      <x:c r="R391" s="33" t="str"/>
      <x:c r="S391" s="33" t="str"/>
      <x:c r="T391" s="35" t="n">
        <x:v>9.6172162</x:v>
      </x:c>
      <x:c r="U391" s="35" t="n">
        <x:v>-13.5957858</x:v>
      </x:c>
      <x:c r="V391" s="33" t="str">
        <x:v>https://www.openstreetmap.org/node/5801153437</x:v>
      </x:c>
      <x:c r="W391" s="33" t="str">
        <x:v>node/5801153437</x:v>
      </x:c>
      <x:c r="X391" s="33" t="str">
        <x:v>review_required</x:v>
      </x:c>
      <x:c r="Y391" s="33" t="str">
        <x:v>pharmacie alhamdou|conakry a verifier</x:v>
      </x:c>
      <x:c r="Z391" s="33" t="str">
        <x:v>224628701398</x:v>
      </x:c>
      <x:c r="AA391" s="33" t="str"/>
    </x:row>
    <x:row r="392">
      <x:c r="A392" s="30" t="str">
        <x:v>À vérifier</x:v>
      </x:c>
      <x:c r="B392" s="30" t="str"/>
      <x:c r="C392" s="31"/>
      <x:c r="D392" s="30" t="str">
        <x:v>Non vérifié</x:v>
      </x:c>
      <x:c r="E392" s="30" t="str"/>
      <x:c r="F392" s="30" t="str"/>
      <x:c r="G392" s="32" t="str"/>
      <x:c r="H392" s="33" t="str">
        <x:f>IF(I392&lt;&gt;"","Doublon possible","")</x:f>
      </x:c>
      <x:c r="I392" s="33" t="str">
        <x:f>IF(COUNTIFS($Y$9:$Y$678,Y392)&gt;1,"Nom + ville",IF(AND(Z392&lt;&gt;"",COUNTIFS($Z$9:$Z$678,Z392)&gt;1),"Téléphone",IF(AND(AA392&lt;&gt;"",COUNTIFS($AA$9:$AA$678,AA392)&gt;1),"Site web","")))</x:f>
      </x:c>
      <x:c r="J392" s="33" t="str">
        <x:v>Pharmacie Amica</x:v>
      </x:c>
      <x:c r="K392" s="33" t="str">
        <x:v>Santé</x:v>
      </x:c>
      <x:c r="L392" s="33" t="str">
        <x:v>Pharmacies</x:v>
      </x:c>
      <x:c r="M392" s="33" t="str">
        <x:v>Conakry (à vérifier)</x:v>
      </x:c>
      <x:c r="N392" s="33" t="str"/>
      <x:c r="O392" s="33" t="str"/>
      <x:c r="P392" s="33" t="str">
        <x:v>+224628577749</x:v>
      </x:c>
      <x:c r="Q392" s="33" t="str"/>
      <x:c r="R392" s="33" t="str"/>
      <x:c r="S392" s="33" t="str"/>
      <x:c r="T392" s="35" t="n">
        <x:v>9.6250667</x:v>
      </x:c>
      <x:c r="U392" s="35" t="n">
        <x:v>-13.60246</x:v>
      </x:c>
      <x:c r="V392" s="33" t="str">
        <x:v>https://www.openstreetmap.org/node/5522081377</x:v>
      </x:c>
      <x:c r="W392" s="33" t="str">
        <x:v>node/5522081377</x:v>
      </x:c>
      <x:c r="X392" s="33" t="str">
        <x:v>review_required</x:v>
      </x:c>
      <x:c r="Y392" s="33" t="str">
        <x:v>pharmacie amica|conakry a verifier</x:v>
      </x:c>
      <x:c r="Z392" s="33" t="str">
        <x:v>224628577749</x:v>
      </x:c>
      <x:c r="AA392" s="33" t="str"/>
    </x:row>
    <x:row r="393">
      <x:c r="A393" s="30" t="str">
        <x:v>À vérifier</x:v>
      </x:c>
      <x:c r="B393" s="30" t="str"/>
      <x:c r="C393" s="31"/>
      <x:c r="D393" s="30" t="str">
        <x:v>Non vérifié</x:v>
      </x:c>
      <x:c r="E393" s="30" t="str"/>
      <x:c r="F393" s="30" t="str"/>
      <x:c r="G393" s="32" t="str"/>
      <x:c r="H393" s="33" t="str">
        <x:f>IF(I393&lt;&gt;"","Doublon possible","")</x:f>
      </x:c>
      <x:c r="I393" s="33" t="str">
        <x:f>IF(COUNTIFS($Y$9:$Y$678,Y393)&gt;1,"Nom + ville",IF(AND(Z393&lt;&gt;"",COUNTIFS($Z$9:$Z$678,Z393)&gt;1),"Téléphone",IF(AND(AA393&lt;&gt;"",COUNTIFS($AA$9:$AA$678,AA393)&gt;1),"Site web","")))</x:f>
      </x:c>
      <x:c r="J393" s="33" t="str">
        <x:v>Pharmacie Amicale</x:v>
      </x:c>
      <x:c r="K393" s="33" t="str">
        <x:v>Santé</x:v>
      </x:c>
      <x:c r="L393" s="33" t="str">
        <x:v>Pharmacies</x:v>
      </x:c>
      <x:c r="M393" s="33" t="str">
        <x:v>Conakry (à vérifier)</x:v>
      </x:c>
      <x:c r="N393" s="33" t="str"/>
      <x:c r="O393" s="33" t="str"/>
      <x:c r="P393" s="33" t="str">
        <x:v>610848989</x:v>
      </x:c>
      <x:c r="Q393" s="33" t="str"/>
      <x:c r="R393" s="33" t="str"/>
      <x:c r="S393" s="33" t="str"/>
      <x:c r="T393" s="35" t="n">
        <x:v>9.7075552</x:v>
      </x:c>
      <x:c r="U393" s="35" t="n">
        <x:v>-13.5105198</x:v>
      </x:c>
      <x:c r="V393" s="33" t="str">
        <x:v>https://www.openstreetmap.org/node/10726553130</x:v>
      </x:c>
      <x:c r="W393" s="33" t="str">
        <x:v>node/10726553130</x:v>
      </x:c>
      <x:c r="X393" s="33" t="str">
        <x:v>review_required</x:v>
      </x:c>
      <x:c r="Y393" s="33" t="str">
        <x:v>pharmacie amicale|conakry a verifier</x:v>
      </x:c>
      <x:c r="Z393" s="33" t="str">
        <x:v>224610848989</x:v>
      </x:c>
      <x:c r="AA393" s="33" t="str"/>
    </x:row>
    <x:row r="394">
      <x:c r="A394" s="30" t="str">
        <x:v>À vérifier</x:v>
      </x:c>
      <x:c r="B394" s="30" t="str"/>
      <x:c r="C394" s="31"/>
      <x:c r="D394" s="30" t="str">
        <x:v>Non vérifié</x:v>
      </x:c>
      <x:c r="E394" s="30" t="str"/>
      <x:c r="F394" s="30" t="str"/>
      <x:c r="G394" s="32" t="str"/>
      <x:c r="H394" s="33" t="str">
        <x:f>IF(I394&lt;&gt;"","Doublon possible","")</x:f>
      </x:c>
      <x:c r="I394" s="33" t="str">
        <x:f>IF(COUNTIFS($Y$9:$Y$678,Y394)&gt;1,"Nom + ville",IF(AND(Z394&lt;&gt;"",COUNTIFS($Z$9:$Z$678,Z394)&gt;1),"Téléphone",IF(AND(AA394&lt;&gt;"",COUNTIFS($AA$9:$AA$678,AA394)&gt;1),"Site web","")))</x:f>
      </x:c>
      <x:c r="J394" s="33" t="str">
        <x:v>Pharmacie Amissatam</x:v>
      </x:c>
      <x:c r="K394" s="33" t="str">
        <x:v>Santé</x:v>
      </x:c>
      <x:c r="L394" s="33" t="str">
        <x:v>Pharmacies</x:v>
      </x:c>
      <x:c r="M394" s="33" t="str">
        <x:v>Conakry (à vérifier)</x:v>
      </x:c>
      <x:c r="N394" s="33" t="str"/>
      <x:c r="O394" s="33" t="str"/>
      <x:c r="P394" s="33" t="str">
        <x:v>+224622853319</x:v>
      </x:c>
      <x:c r="Q394" s="33" t="str"/>
      <x:c r="R394" s="33" t="str"/>
      <x:c r="S394" s="33" t="str"/>
      <x:c r="T394" s="35" t="n">
        <x:v>9.6342461</x:v>
      </x:c>
      <x:c r="U394" s="35" t="n">
        <x:v>-13.5723858</x:v>
      </x:c>
      <x:c r="V394" s="33" t="str">
        <x:v>https://www.openstreetmap.org/node/5809042195</x:v>
      </x:c>
      <x:c r="W394" s="33" t="str">
        <x:v>node/5809042195</x:v>
      </x:c>
      <x:c r="X394" s="33" t="str">
        <x:v>review_required</x:v>
      </x:c>
      <x:c r="Y394" s="33" t="str">
        <x:v>pharmacie amissatam|conakry a verifier</x:v>
      </x:c>
      <x:c r="Z394" s="33" t="str">
        <x:v>224622853319</x:v>
      </x:c>
      <x:c r="AA394" s="33" t="str"/>
    </x:row>
    <x:row r="395">
      <x:c r="A395" s="30" t="str">
        <x:v>À vérifier</x:v>
      </x:c>
      <x:c r="B395" s="30" t="str"/>
      <x:c r="C395" s="31"/>
      <x:c r="D395" s="30" t="str">
        <x:v>Non vérifié</x:v>
      </x:c>
      <x:c r="E395" s="30" t="str"/>
      <x:c r="F395" s="30" t="str"/>
      <x:c r="G395" s="32" t="str"/>
      <x:c r="H395" s="33" t="str">
        <x:f>IF(I395&lt;&gt;"","Doublon possible","")</x:f>
      </x:c>
      <x:c r="I395" s="33" t="str">
        <x:f>IF(COUNTIFS($Y$9:$Y$678,Y395)&gt;1,"Nom + ville",IF(AND(Z395&lt;&gt;"",COUNTIFS($Z$9:$Z$678,Z395)&gt;1),"Téléphone",IF(AND(AA395&lt;&gt;"",COUNTIFS($AA$9:$AA$678,AA395)&gt;1),"Site web","")))</x:f>
      </x:c>
      <x:c r="J395" s="33" t="str">
        <x:v>Pharmacie André &amp; Fils</x:v>
      </x:c>
      <x:c r="K395" s="33" t="str">
        <x:v>Santé</x:v>
      </x:c>
      <x:c r="L395" s="33" t="str">
        <x:v>Pharmacies</x:v>
      </x:c>
      <x:c r="M395" s="33" t="str">
        <x:v>Conakry (à vérifier)</x:v>
      </x:c>
      <x:c r="N395" s="33" t="str"/>
      <x:c r="O395" s="33" t="str"/>
      <x:c r="P395" s="33" t="str">
        <x:v>624478080</x:v>
      </x:c>
      <x:c r="Q395" s="33" t="str"/>
      <x:c r="R395" s="33" t="str"/>
      <x:c r="S395" s="33" t="str"/>
      <x:c r="T395" s="35" t="n">
        <x:v>9.6649627</x:v>
      </x:c>
      <x:c r="U395" s="35" t="n">
        <x:v>-13.592859</x:v>
      </x:c>
      <x:c r="V395" s="33" t="str">
        <x:v>https://www.openstreetmap.org/node/10024180814</x:v>
      </x:c>
      <x:c r="W395" s="33" t="str">
        <x:v>node/10024180814</x:v>
      </x:c>
      <x:c r="X395" s="33" t="str">
        <x:v>review_required</x:v>
      </x:c>
      <x:c r="Y395" s="33" t="str">
        <x:v>pharmacie andre fils|conakry a verifier</x:v>
      </x:c>
      <x:c r="Z395" s="33" t="str">
        <x:v>224624478080</x:v>
      </x:c>
      <x:c r="AA395" s="33" t="str"/>
    </x:row>
    <x:row r="396">
      <x:c r="A396" s="30" t="str">
        <x:v>À vérifier</x:v>
      </x:c>
      <x:c r="B396" s="30" t="str"/>
      <x:c r="C396" s="31"/>
      <x:c r="D396" s="30" t="str">
        <x:v>Non vérifié</x:v>
      </x:c>
      <x:c r="E396" s="30" t="str"/>
      <x:c r="F396" s="30" t="str"/>
      <x:c r="G396" s="32" t="str"/>
      <x:c r="H396" s="33" t="str">
        <x:f>IF(I396&lt;&gt;"","Doublon possible","")</x:f>
        <x:v>Doublon possible</x:v>
      </x:c>
      <x:c r="I396" s="33" t="str">
        <x:f>IF(COUNTIFS($Y$9:$Y$678,Y396)&gt;1,"Nom + ville",IF(AND(Z396&lt;&gt;"",COUNTIFS($Z$9:$Z$678,Z396)&gt;1),"Téléphone",IF(AND(AA396&lt;&gt;"",COUNTIFS($AA$9:$AA$678,AA396)&gt;1),"Site web","")))</x:f>
        <x:v>Site web</x:v>
      </x:c>
      <x:c r="J396" s="33" t="str">
        <x:v>Pharmacie Angèle</x:v>
      </x:c>
      <x:c r="K396" s="33" t="str">
        <x:v>Santé</x:v>
      </x:c>
      <x:c r="L396" s="33" t="str">
        <x:v>Pharmacies</x:v>
      </x:c>
      <x:c r="M396" s="33" t="str">
        <x:v>Conakry (à vérifier)</x:v>
      </x:c>
      <x:c r="N396" s="33" t="str"/>
      <x:c r="O396" s="33" t="str"/>
      <x:c r="P396" s="33" t="str">
        <x:v>+224628609644</x:v>
      </x:c>
      <x:c r="Q396" s="33" t="str"/>
      <x:c r="R396" s="33" t="str">
        <x:v>habaangele@gmail.com</x:v>
      </x:c>
      <x:c r="S396" s="33" t="str"/>
      <x:c r="T396" s="35" t="n">
        <x:v>9.661573</x:v>
      </x:c>
      <x:c r="U396" s="35" t="n">
        <x:v>-13.5906659</x:v>
      </x:c>
      <x:c r="V396" s="33" t="str">
        <x:v>https://www.openstreetmap.org/node/7387455509</x:v>
      </x:c>
      <x:c r="W396" s="33" t="str">
        <x:v>node/7387455509</x:v>
      </x:c>
      <x:c r="X396" s="33" t="str">
        <x:v>review_required</x:v>
      </x:c>
      <x:c r="Y396" s="33" t="str">
        <x:v>pharmacie angele|conakry a verifier</x:v>
      </x:c>
      <x:c r="Z396" s="33" t="str">
        <x:v>224628609644</x:v>
      </x:c>
      <x:c r="AA396" s="33" t="str">
        <x:v>gmail.com</x:v>
      </x:c>
    </x:row>
    <x:row r="397">
      <x:c r="A397" s="30" t="str">
        <x:v>À vérifier</x:v>
      </x:c>
      <x:c r="B397" s="30" t="str"/>
      <x:c r="C397" s="31"/>
      <x:c r="D397" s="30" t="str">
        <x:v>Non vérifié</x:v>
      </x:c>
      <x:c r="E397" s="30" t="str"/>
      <x:c r="F397" s="30" t="str"/>
      <x:c r="G397" s="32" t="str"/>
      <x:c r="H397" s="33" t="str">
        <x:f>IF(I397&lt;&gt;"","Doublon possible","")</x:f>
      </x:c>
      <x:c r="I397" s="33" t="str">
        <x:f>IF(COUNTIFS($Y$9:$Y$678,Y397)&gt;1,"Nom + ville",IF(AND(Z397&lt;&gt;"",COUNTIFS($Z$9:$Z$678,Z397)&gt;1),"Téléphone",IF(AND(AA397&lt;&gt;"",COUNTIFS($AA$9:$AA$678,AA397)&gt;1),"Site web","")))</x:f>
      </x:c>
      <x:c r="J397" s="33" t="str">
        <x:v>pharmacie astou</x:v>
      </x:c>
      <x:c r="K397" s="33" t="str">
        <x:v>Santé</x:v>
      </x:c>
      <x:c r="L397" s="33" t="str">
        <x:v>Pharmacies</x:v>
      </x:c>
      <x:c r="M397" s="33" t="str">
        <x:v>Conakry (à vérifier)</x:v>
      </x:c>
      <x:c r="N397" s="33" t="str"/>
      <x:c r="O397" s="33" t="str"/>
      <x:c r="P397" s="33" t="str">
        <x:v>628413306</x:v>
      </x:c>
      <x:c r="Q397" s="33" t="str"/>
      <x:c r="R397" s="33" t="str"/>
      <x:c r="S397" s="33" t="str"/>
      <x:c r="T397" s="35" t="n">
        <x:v>9.5985456</x:v>
      </x:c>
      <x:c r="U397" s="35" t="n">
        <x:v>-13.6030384</x:v>
      </x:c>
      <x:c r="V397" s="33" t="str">
        <x:v>https://www.openstreetmap.org/way/554583943</x:v>
      </x:c>
      <x:c r="W397" s="33" t="str">
        <x:v>way/554583943</x:v>
      </x:c>
      <x:c r="X397" s="33" t="str">
        <x:v>review_required</x:v>
      </x:c>
      <x:c r="Y397" s="33" t="str">
        <x:v>pharmacie astou|conakry a verifier</x:v>
      </x:c>
      <x:c r="Z397" s="33" t="str">
        <x:v>224628413306</x:v>
      </x:c>
      <x:c r="AA397" s="33" t="str"/>
    </x:row>
    <x:row r="398">
      <x:c r="A398" s="30" t="str">
        <x:v>À vérifier</x:v>
      </x:c>
      <x:c r="B398" s="30" t="str"/>
      <x:c r="C398" s="31"/>
      <x:c r="D398" s="30" t="str">
        <x:v>Non vérifié</x:v>
      </x:c>
      <x:c r="E398" s="30" t="str"/>
      <x:c r="F398" s="30" t="str"/>
      <x:c r="G398" s="32" t="str"/>
      <x:c r="H398" s="33" t="str">
        <x:f>IF(I398&lt;&gt;"","Doublon possible","")</x:f>
      </x:c>
      <x:c r="I398" s="33" t="str">
        <x:f>IF(COUNTIFS($Y$9:$Y$678,Y398)&gt;1,"Nom + ville",IF(AND(Z398&lt;&gt;"",COUNTIFS($Z$9:$Z$678,Z398)&gt;1),"Téléphone",IF(AND(AA398&lt;&gt;"",COUNTIFS($AA$9:$AA$678,AA398)&gt;1),"Site web","")))</x:f>
      </x:c>
      <x:c r="J398" s="33" t="str">
        <x:v>Pharmacie Bangoura</x:v>
      </x:c>
      <x:c r="K398" s="33" t="str">
        <x:v>Santé</x:v>
      </x:c>
      <x:c r="L398" s="33" t="str">
        <x:v>Pharmacies</x:v>
      </x:c>
      <x:c r="M398" s="33" t="str">
        <x:v>Conakry (à vérifier)</x:v>
      </x:c>
      <x:c r="N398" s="33" t="str"/>
      <x:c r="O398" s="33" t="str"/>
      <x:c r="P398" s="33" t="str">
        <x:v>+224622209316</x:v>
      </x:c>
      <x:c r="Q398" s="33" t="str"/>
      <x:c r="R398" s="33" t="str"/>
      <x:c r="S398" s="33" t="str"/>
      <x:c r="T398" s="35" t="n">
        <x:v>9.5761923</x:v>
      </x:c>
      <x:c r="U398" s="35" t="n">
        <x:v>-13.6573388</x:v>
      </x:c>
      <x:c r="V398" s="33" t="str">
        <x:v>https://www.openstreetmap.org/node/5587090555</x:v>
      </x:c>
      <x:c r="W398" s="33" t="str">
        <x:v>node/5587090555</x:v>
      </x:c>
      <x:c r="X398" s="33" t="str">
        <x:v>review_required</x:v>
      </x:c>
      <x:c r="Y398" s="33" t="str">
        <x:v>pharmacie bangoura|conakry a verifier</x:v>
      </x:c>
      <x:c r="Z398" s="33" t="str">
        <x:v>224622209316</x:v>
      </x:c>
      <x:c r="AA398" s="33" t="str"/>
    </x:row>
    <x:row r="399">
      <x:c r="A399" s="30" t="str">
        <x:v>À vérifier</x:v>
      </x:c>
      <x:c r="B399" s="30" t="str"/>
      <x:c r="C399" s="31"/>
      <x:c r="D399" s="30" t="str">
        <x:v>Non vérifié</x:v>
      </x:c>
      <x:c r="E399" s="30" t="str"/>
      <x:c r="F399" s="30" t="str"/>
      <x:c r="G399" s="32" t="str"/>
      <x:c r="H399" s="33" t="str">
        <x:f>IF(I399&lt;&gt;"","Doublon possible","")</x:f>
      </x:c>
      <x:c r="I399" s="33" t="str">
        <x:f>IF(COUNTIFS($Y$9:$Y$678,Y399)&gt;1,"Nom + ville",IF(AND(Z399&lt;&gt;"",COUNTIFS($Z$9:$Z$678,Z399)&gt;1),"Téléphone",IF(AND(AA399&lt;&gt;"",COUNTIFS($AA$9:$AA$678,AA399)&gt;1),"Site web","")))</x:f>
      </x:c>
      <x:c r="J399" s="33" t="str">
        <x:v>Pharmacie Ben Oumar</x:v>
      </x:c>
      <x:c r="K399" s="33" t="str">
        <x:v>Santé</x:v>
      </x:c>
      <x:c r="L399" s="33" t="str">
        <x:v>Pharmacies</x:v>
      </x:c>
      <x:c r="M399" s="33" t="str">
        <x:v>Conakry (à vérifier)</x:v>
      </x:c>
      <x:c r="N399" s="33" t="str"/>
      <x:c r="O399" s="33" t="str"/>
      <x:c r="P399" s="33" t="str">
        <x:v>+224664239169</x:v>
      </x:c>
      <x:c r="Q399" s="33" t="str"/>
      <x:c r="R399" s="33" t="str"/>
      <x:c r="S399" s="33" t="str"/>
      <x:c r="T399" s="35" t="n">
        <x:v>9.5443264</x:v>
      </x:c>
      <x:c r="U399" s="35" t="n">
        <x:v>-13.6611277</x:v>
      </x:c>
      <x:c r="V399" s="33" t="str">
        <x:v>https://www.openstreetmap.org/node/5946455344</x:v>
      </x:c>
      <x:c r="W399" s="33" t="str">
        <x:v>node/5946455344</x:v>
      </x:c>
      <x:c r="X399" s="33" t="str">
        <x:v>review_required</x:v>
      </x:c>
      <x:c r="Y399" s="33" t="str">
        <x:v>pharmacie ben oumar|conakry a verifier</x:v>
      </x:c>
      <x:c r="Z399" s="33" t="str">
        <x:v>224664239169</x:v>
      </x:c>
      <x:c r="AA399" s="33" t="str"/>
    </x:row>
    <x:row r="400">
      <x:c r="A400" s="30" t="str">
        <x:v>À vérifier</x:v>
      </x:c>
      <x:c r="B400" s="30" t="str"/>
      <x:c r="C400" s="31"/>
      <x:c r="D400" s="30" t="str">
        <x:v>Non vérifié</x:v>
      </x:c>
      <x:c r="E400" s="30" t="str"/>
      <x:c r="F400" s="30" t="str"/>
      <x:c r="G400" s="32" t="str"/>
      <x:c r="H400" s="33" t="str">
        <x:f>IF(I400&lt;&gt;"","Doublon possible","")</x:f>
      </x:c>
      <x:c r="I400" s="33" t="str">
        <x:f>IF(COUNTIFS($Y$9:$Y$678,Y400)&gt;1,"Nom + ville",IF(AND(Z400&lt;&gt;"",COUNTIFS($Z$9:$Z$678,Z400)&gt;1),"Téléphone",IF(AND(AA400&lt;&gt;"",COUNTIFS($AA$9:$AA$678,AA400)&gt;1),"Site web","")))</x:f>
      </x:c>
      <x:c r="J400" s="33" t="str">
        <x:v>pharmacie bilivogui</x:v>
      </x:c>
      <x:c r="K400" s="33" t="str">
        <x:v>Santé</x:v>
      </x:c>
      <x:c r="L400" s="33" t="str">
        <x:v>Pharmacies</x:v>
      </x:c>
      <x:c r="M400" s="33" t="str">
        <x:v>Conakry (à vérifier)</x:v>
      </x:c>
      <x:c r="N400" s="33" t="str"/>
      <x:c r="O400" s="33" t="str"/>
      <x:c r="P400" s="33" t="str">
        <x:v>+224628592601</x:v>
      </x:c>
      <x:c r="Q400" s="33" t="str"/>
      <x:c r="R400" s="33" t="str"/>
      <x:c r="S400" s="33" t="str"/>
      <x:c r="T400" s="35" t="n">
        <x:v>9.6906606</x:v>
      </x:c>
      <x:c r="U400" s="35" t="n">
        <x:v>-13.5097652</x:v>
      </x:c>
      <x:c r="V400" s="33" t="str">
        <x:v>https://www.openstreetmap.org/node/5296855023</x:v>
      </x:c>
      <x:c r="W400" s="33" t="str">
        <x:v>node/5296855023</x:v>
      </x:c>
      <x:c r="X400" s="33" t="str">
        <x:v>review_required</x:v>
      </x:c>
      <x:c r="Y400" s="33" t="str">
        <x:v>pharmacie bilivogui|conakry a verifier</x:v>
      </x:c>
      <x:c r="Z400" s="33" t="str">
        <x:v>224628592601</x:v>
      </x:c>
      <x:c r="AA400" s="33" t="str"/>
    </x:row>
    <x:row r="401">
      <x:c r="A401" s="30" t="str">
        <x:v>À vérifier</x:v>
      </x:c>
      <x:c r="B401" s="30" t="str"/>
      <x:c r="C401" s="31"/>
      <x:c r="D401" s="30" t="str">
        <x:v>Non vérifié</x:v>
      </x:c>
      <x:c r="E401" s="30" t="str"/>
      <x:c r="F401" s="30" t="str"/>
      <x:c r="G401" s="32" t="str"/>
      <x:c r="H401" s="33" t="str">
        <x:f>IF(I401&lt;&gt;"","Doublon possible","")</x:f>
      </x:c>
      <x:c r="I401" s="33" t="str">
        <x:f>IF(COUNTIFS($Y$9:$Y$678,Y401)&gt;1,"Nom + ville",IF(AND(Z401&lt;&gt;"",COUNTIFS($Z$9:$Z$678,Z401)&gt;1),"Téléphone",IF(AND(AA401&lt;&gt;"",COUNTIFS($AA$9:$AA$678,AA401)&gt;1),"Site web","")))</x:f>
      </x:c>
      <x:c r="J401" s="33" t="str">
        <x:v>Pharmacie Bintiya</x:v>
      </x:c>
      <x:c r="K401" s="33" t="str">
        <x:v>Santé</x:v>
      </x:c>
      <x:c r="L401" s="33" t="str">
        <x:v>Pharmacies</x:v>
      </x:c>
      <x:c r="M401" s="33" t="str">
        <x:v>Conakry (à vérifier)</x:v>
      </x:c>
      <x:c r="N401" s="33" t="str"/>
      <x:c r="O401" s="33" t="str"/>
      <x:c r="P401" s="33" t="str">
        <x:v>+224657329331</x:v>
      </x:c>
      <x:c r="Q401" s="33" t="str"/>
      <x:c r="R401" s="33" t="str"/>
      <x:c r="S401" s="33" t="str"/>
      <x:c r="T401" s="35" t="n">
        <x:v>9.6350529</x:v>
      </x:c>
      <x:c r="U401" s="35" t="n">
        <x:v>-13.6231167</x:v>
      </x:c>
      <x:c r="V401" s="33" t="str">
        <x:v>https://www.openstreetmap.org/node/5528602731</x:v>
      </x:c>
      <x:c r="W401" s="33" t="str">
        <x:v>node/5528602731</x:v>
      </x:c>
      <x:c r="X401" s="33" t="str">
        <x:v>review_required</x:v>
      </x:c>
      <x:c r="Y401" s="33" t="str">
        <x:v>pharmacie bintiya|conakry a verifier</x:v>
      </x:c>
      <x:c r="Z401" s="33" t="str">
        <x:v>224657329331</x:v>
      </x:c>
      <x:c r="AA401" s="33" t="str"/>
    </x:row>
    <x:row r="402">
      <x:c r="A402" s="30" t="str">
        <x:v>À vérifier</x:v>
      </x:c>
      <x:c r="B402" s="30" t="str"/>
      <x:c r="C402" s="31"/>
      <x:c r="D402" s="30" t="str">
        <x:v>Non vérifié</x:v>
      </x:c>
      <x:c r="E402" s="30" t="str"/>
      <x:c r="F402" s="30" t="str"/>
      <x:c r="G402" s="32" t="str"/>
      <x:c r="H402" s="33" t="str">
        <x:f>IF(I402&lt;&gt;"","Doublon possible","")</x:f>
      </x:c>
      <x:c r="I402" s="33" t="str">
        <x:f>IF(COUNTIFS($Y$9:$Y$678,Y402)&gt;1,"Nom + ville",IF(AND(Z402&lt;&gt;"",COUNTIFS($Z$9:$Z$678,Z402)&gt;1),"Téléphone",IF(AND(AA402&lt;&gt;"",COUNTIFS($AA$9:$AA$678,AA402)&gt;1),"Site web","")))</x:f>
      </x:c>
      <x:c r="J402" s="33" t="str">
        <x:v>Pharmacie Bonfi</x:v>
      </x:c>
      <x:c r="K402" s="33" t="str">
        <x:v>Santé</x:v>
      </x:c>
      <x:c r="L402" s="33" t="str">
        <x:v>Pharmacies</x:v>
      </x:c>
      <x:c r="M402" s="33" t="str">
        <x:v>Conakry (à vérifier)</x:v>
      </x:c>
      <x:c r="N402" s="33" t="str"/>
      <x:c r="O402" s="33" t="str"/>
      <x:c r="P402" s="33" t="str">
        <x:v>620424237</x:v>
      </x:c>
      <x:c r="Q402" s="33" t="str"/>
      <x:c r="R402" s="33" t="str"/>
      <x:c r="S402" s="33" t="str"/>
      <x:c r="T402" s="35" t="n">
        <x:v>9.5599969</x:v>
      </x:c>
      <x:c r="U402" s="35" t="n">
        <x:v>-13.641601</x:v>
      </x:c>
      <x:c r="V402" s="33" t="str">
        <x:v>https://www.openstreetmap.org/node/5494060389</x:v>
      </x:c>
      <x:c r="W402" s="33" t="str">
        <x:v>node/5494060389</x:v>
      </x:c>
      <x:c r="X402" s="33" t="str">
        <x:v>review_required</x:v>
      </x:c>
      <x:c r="Y402" s="33" t="str">
        <x:v>pharmacie bonfi|conakry a verifier</x:v>
      </x:c>
      <x:c r="Z402" s="33" t="str">
        <x:v>224620424237</x:v>
      </x:c>
      <x:c r="AA402" s="33" t="str"/>
    </x:row>
    <x:row r="403">
      <x:c r="A403" s="30" t="str">
        <x:v>À vérifier</x:v>
      </x:c>
      <x:c r="B403" s="30" t="str"/>
      <x:c r="C403" s="31"/>
      <x:c r="D403" s="30" t="str">
        <x:v>Non vérifié</x:v>
      </x:c>
      <x:c r="E403" s="30" t="str"/>
      <x:c r="F403" s="30" t="str"/>
      <x:c r="G403" s="32" t="str"/>
      <x:c r="H403" s="33" t="str">
        <x:f>IF(I403&lt;&gt;"","Doublon possible","")</x:f>
      </x:c>
      <x:c r="I403" s="33" t="str">
        <x:f>IF(COUNTIFS($Y$9:$Y$678,Y403)&gt;1,"Nom + ville",IF(AND(Z403&lt;&gt;"",COUNTIFS($Z$9:$Z$678,Z403)&gt;1),"Téléphone",IF(AND(AA403&lt;&gt;"",COUNTIFS($AA$9:$AA$678,AA403)&gt;1),"Site web","")))</x:f>
      </x:c>
      <x:c r="J403" s="33" t="str">
        <x:v>Pharmacie bonfi Routière</x:v>
      </x:c>
      <x:c r="K403" s="33" t="str">
        <x:v>Santé</x:v>
      </x:c>
      <x:c r="L403" s="33" t="str">
        <x:v>Pharmacies</x:v>
      </x:c>
      <x:c r="M403" s="33" t="str">
        <x:v>Conakry (à vérifier)</x:v>
      </x:c>
      <x:c r="N403" s="33" t="str"/>
      <x:c r="O403" s="33" t="str"/>
      <x:c r="P403" s="33" t="str">
        <x:v>+224622902753</x:v>
      </x:c>
      <x:c r="Q403" s="33" t="str"/>
      <x:c r="R403" s="33" t="str"/>
      <x:c r="S403" s="33" t="str"/>
      <x:c r="T403" s="35" t="n">
        <x:v>9.5559931</x:v>
      </x:c>
      <x:c r="U403" s="35" t="n">
        <x:v>-13.6449707</x:v>
      </x:c>
      <x:c r="V403" s="33" t="str">
        <x:v>https://www.openstreetmap.org/node/5494059674</x:v>
      </x:c>
      <x:c r="W403" s="33" t="str">
        <x:v>node/5494059674</x:v>
      </x:c>
      <x:c r="X403" s="33" t="str">
        <x:v>review_required</x:v>
      </x:c>
      <x:c r="Y403" s="33" t="str">
        <x:v>pharmacie bonfi routiere|conakry a verifier</x:v>
      </x:c>
      <x:c r="Z403" s="33" t="str">
        <x:v>224622902753</x:v>
      </x:c>
      <x:c r="AA403" s="33" t="str"/>
    </x:row>
    <x:row r="404">
      <x:c r="A404" s="30" t="str">
        <x:v>À vérifier</x:v>
      </x:c>
      <x:c r="B404" s="30" t="str"/>
      <x:c r="C404" s="31"/>
      <x:c r="D404" s="30" t="str">
        <x:v>Non vérifié</x:v>
      </x:c>
      <x:c r="E404" s="30" t="str"/>
      <x:c r="F404" s="30" t="str"/>
      <x:c r="G404" s="32" t="str"/>
      <x:c r="H404" s="33" t="str">
        <x:f>IF(I404&lt;&gt;"","Doublon possible","")</x:f>
      </x:c>
      <x:c r="I404" s="33" t="str">
        <x:f>IF(COUNTIFS($Y$9:$Y$678,Y404)&gt;1,"Nom + ville",IF(AND(Z404&lt;&gt;"",COUNTIFS($Z$9:$Z$678,Z404)&gt;1),"Téléphone",IF(AND(AA404&lt;&gt;"",COUNTIFS($AA$9:$AA$678,AA404)&gt;1),"Site web","")))</x:f>
      </x:c>
      <x:c r="J404" s="33" t="str">
        <x:v>Pharmacie Bonheur</x:v>
      </x:c>
      <x:c r="K404" s="33" t="str">
        <x:v>Santé</x:v>
      </x:c>
      <x:c r="L404" s="33" t="str">
        <x:v>Pharmacies</x:v>
      </x:c>
      <x:c r="M404" s="33" t="str">
        <x:v>Conakry (à vérifier)</x:v>
      </x:c>
      <x:c r="N404" s="33" t="str"/>
      <x:c r="O404" s="33" t="str"/>
      <x:c r="P404" s="33" t="str">
        <x:v>+224628473512</x:v>
      </x:c>
      <x:c r="Q404" s="33" t="str"/>
      <x:c r="R404" s="33" t="str"/>
      <x:c r="S404" s="33" t="str"/>
      <x:c r="T404" s="35" t="n">
        <x:v>9.6674057</x:v>
      </x:c>
      <x:c r="U404" s="35" t="n">
        <x:v>-13.5249813</x:v>
      </x:c>
      <x:c r="V404" s="33" t="str">
        <x:v>https://www.openstreetmap.org/node/5592973041</x:v>
      </x:c>
      <x:c r="W404" s="33" t="str">
        <x:v>node/5592973041</x:v>
      </x:c>
      <x:c r="X404" s="33" t="str">
        <x:v>review_required</x:v>
      </x:c>
      <x:c r="Y404" s="33" t="str">
        <x:v>pharmacie bonheur|conakry a verifier</x:v>
      </x:c>
      <x:c r="Z404" s="33" t="str">
        <x:v>224628473512</x:v>
      </x:c>
      <x:c r="AA404" s="33" t="str"/>
    </x:row>
    <x:row r="405">
      <x:c r="A405" s="30" t="str">
        <x:v>À vérifier</x:v>
      </x:c>
      <x:c r="B405" s="30" t="str"/>
      <x:c r="C405" s="31"/>
      <x:c r="D405" s="30" t="str">
        <x:v>Non vérifié</x:v>
      </x:c>
      <x:c r="E405" s="30" t="str"/>
      <x:c r="F405" s="30" t="str"/>
      <x:c r="G405" s="32" t="str"/>
      <x:c r="H405" s="33" t="str">
        <x:f>IF(I405&lt;&gt;"","Doublon possible","")</x:f>
      </x:c>
      <x:c r="I405" s="33" t="str">
        <x:f>IF(COUNTIFS($Y$9:$Y$678,Y405)&gt;1,"Nom + ville",IF(AND(Z405&lt;&gt;"",COUNTIFS($Z$9:$Z$678,Z405)&gt;1),"Téléphone",IF(AND(AA405&lt;&gt;"",COUNTIFS($AA$9:$AA$678,AA405)&gt;1),"Site web","")))</x:f>
      </x:c>
      <x:c r="J405" s="33" t="str">
        <x:v>Pharmacie Boulbinet</x:v>
      </x:c>
      <x:c r="K405" s="33" t="str">
        <x:v>Santé</x:v>
      </x:c>
      <x:c r="L405" s="33" t="str">
        <x:v>Pharmacies</x:v>
      </x:c>
      <x:c r="M405" s="33" t="str">
        <x:v>Conakry (à vérifier)</x:v>
      </x:c>
      <x:c r="N405" s="33" t="str"/>
      <x:c r="O405" s="33" t="str"/>
      <x:c r="P405" s="33" t="str">
        <x:v>+224669339597</x:v>
      </x:c>
      <x:c r="Q405" s="33" t="str"/>
      <x:c r="R405" s="33" t="str"/>
      <x:c r="S405" s="33" t="str"/>
      <x:c r="T405" s="35" t="n">
        <x:v>9.5086228</x:v>
      </x:c>
      <x:c r="U405" s="35" t="n">
        <x:v>-13.7140379</x:v>
      </x:c>
      <x:c r="V405" s="33" t="str">
        <x:v>https://www.openstreetmap.org/node/6067190495</x:v>
      </x:c>
      <x:c r="W405" s="33" t="str">
        <x:v>node/6067190495</x:v>
      </x:c>
      <x:c r="X405" s="33" t="str">
        <x:v>review_required</x:v>
      </x:c>
      <x:c r="Y405" s="33" t="str">
        <x:v>pharmacie boulbinet|conakry a verifier</x:v>
      </x:c>
      <x:c r="Z405" s="33" t="str">
        <x:v>224669339597</x:v>
      </x:c>
      <x:c r="AA405" s="33" t="str"/>
    </x:row>
    <x:row r="406">
      <x:c r="A406" s="30" t="str">
        <x:v>À vérifier</x:v>
      </x:c>
      <x:c r="B406" s="30" t="str"/>
      <x:c r="C406" s="31"/>
      <x:c r="D406" s="30" t="str">
        <x:v>Non vérifié</x:v>
      </x:c>
      <x:c r="E406" s="30" t="str"/>
      <x:c r="F406" s="30" t="str"/>
      <x:c r="G406" s="32" t="str"/>
      <x:c r="H406" s="33" t="str">
        <x:f>IF(I406&lt;&gt;"","Doublon possible","")</x:f>
      </x:c>
      <x:c r="I406" s="33" t="str">
        <x:f>IF(COUNTIFS($Y$9:$Y$678,Y406)&gt;1,"Nom + ville",IF(AND(Z406&lt;&gt;"",COUNTIFS($Z$9:$Z$678,Z406)&gt;1),"Téléphone",IF(AND(AA406&lt;&gt;"",COUNTIFS($AA$9:$AA$678,AA406)&gt;1),"Site web","")))</x:f>
      </x:c>
      <x:c r="J406" s="33" t="str">
        <x:v>Pharmacie Bébé Amy</x:v>
      </x:c>
      <x:c r="K406" s="33" t="str">
        <x:v>Santé</x:v>
      </x:c>
      <x:c r="L406" s="33" t="str">
        <x:v>Pharmacies</x:v>
      </x:c>
      <x:c r="M406" s="33" t="str">
        <x:v>Conakry (à vérifier)</x:v>
      </x:c>
      <x:c r="N406" s="33" t="str"/>
      <x:c r="O406" s="33" t="str"/>
      <x:c r="P406" s="33" t="str">
        <x:v>+224627001212</x:v>
      </x:c>
      <x:c r="Q406" s="33" t="str"/>
      <x:c r="R406" s="33" t="str"/>
      <x:c r="S406" s="33" t="str"/>
      <x:c r="T406" s="35" t="n">
        <x:v>9.6687834</x:v>
      </x:c>
      <x:c r="U406" s="35" t="n">
        <x:v>-13.5890197</x:v>
      </x:c>
      <x:c r="V406" s="33" t="str">
        <x:v>https://www.openstreetmap.org/node/5697183301</x:v>
      </x:c>
      <x:c r="W406" s="33" t="str">
        <x:v>node/5697183301</x:v>
      </x:c>
      <x:c r="X406" s="33" t="str">
        <x:v>review_required</x:v>
      </x:c>
      <x:c r="Y406" s="33" t="str">
        <x:v>pharmacie bebe amy|conakry a verifier</x:v>
      </x:c>
      <x:c r="Z406" s="33" t="str">
        <x:v>224627001212</x:v>
      </x:c>
      <x:c r="AA406" s="33" t="str"/>
    </x:row>
    <x:row r="407">
      <x:c r="A407" s="30" t="str">
        <x:v>À vérifier</x:v>
      </x:c>
      <x:c r="B407" s="30" t="str"/>
      <x:c r="C407" s="31"/>
      <x:c r="D407" s="30" t="str">
        <x:v>Non vérifié</x:v>
      </x:c>
      <x:c r="E407" s="30" t="str"/>
      <x:c r="F407" s="30" t="str"/>
      <x:c r="G407" s="32" t="str"/>
      <x:c r="H407" s="33" t="str">
        <x:f>IF(I407&lt;&gt;"","Doublon possible","")</x:f>
      </x:c>
      <x:c r="I407" s="33" t="str">
        <x:f>IF(COUNTIFS($Y$9:$Y$678,Y407)&gt;1,"Nom + ville",IF(AND(Z407&lt;&gt;"",COUNTIFS($Z$9:$Z$678,Z407)&gt;1),"Téléphone",IF(AND(AA407&lt;&gt;"",COUNTIFS($AA$9:$AA$678,AA407)&gt;1),"Site web","")))</x:f>
      </x:c>
      <x:c r="J407" s="33" t="str">
        <x:v>Pharmacie Camayenne</x:v>
      </x:c>
      <x:c r="K407" s="33" t="str">
        <x:v>Santé</x:v>
      </x:c>
      <x:c r="L407" s="33" t="str">
        <x:v>Pharmacies</x:v>
      </x:c>
      <x:c r="M407" s="33" t="str">
        <x:v>Conakry (à vérifier)</x:v>
      </x:c>
      <x:c r="N407" s="33" t="str"/>
      <x:c r="O407" s="33" t="str">
        <x:v>995 Route de Donka</x:v>
      </x:c>
      <x:c r="P407" s="33" t="str">
        <x:v>664244123</x:v>
      </x:c>
      <x:c r="Q407" s="33" t="str"/>
      <x:c r="R407" s="33" t="str"/>
      <x:c r="S407" s="33" t="str"/>
      <x:c r="T407" s="35" t="n">
        <x:v>9.53481</x:v>
      </x:c>
      <x:c r="U407" s="35" t="n">
        <x:v>-13.6857477</x:v>
      </x:c>
      <x:c r="V407" s="33" t="str">
        <x:v>https://www.openstreetmap.org/node/5550527738</x:v>
      </x:c>
      <x:c r="W407" s="33" t="str">
        <x:v>node/5550527738</x:v>
      </x:c>
      <x:c r="X407" s="33" t="str">
        <x:v>review_required</x:v>
      </x:c>
      <x:c r="Y407" s="33" t="str">
        <x:v>pharmacie camayenne|conakry a verifier</x:v>
      </x:c>
      <x:c r="Z407" s="33" t="str">
        <x:v>224664244123</x:v>
      </x:c>
      <x:c r="AA407" s="33" t="str"/>
    </x:row>
    <x:row r="408">
      <x:c r="A408" s="30" t="str">
        <x:v>À vérifier</x:v>
      </x:c>
      <x:c r="B408" s="30" t="str"/>
      <x:c r="C408" s="31"/>
      <x:c r="D408" s="30" t="str">
        <x:v>Non vérifié</x:v>
      </x:c>
      <x:c r="E408" s="30" t="str"/>
      <x:c r="F408" s="30" t="str"/>
      <x:c r="G408" s="32" t="str"/>
      <x:c r="H408" s="33" t="str">
        <x:f>IF(I408&lt;&gt;"","Doublon possible","")</x:f>
      </x:c>
      <x:c r="I408" s="33" t="str">
        <x:f>IF(COUNTIFS($Y$9:$Y$678,Y408)&gt;1,"Nom + ville",IF(AND(Z408&lt;&gt;"",COUNTIFS($Z$9:$Z$678,Z408)&gt;1),"Téléphone",IF(AND(AA408&lt;&gt;"",COUNTIFS($AA$9:$AA$678,AA408)&gt;1),"Site web","")))</x:f>
      </x:c>
      <x:c r="J408" s="33" t="str">
        <x:v>pharmacie Camayenne plage</x:v>
      </x:c>
      <x:c r="K408" s="33" t="str">
        <x:v>Santé</x:v>
      </x:c>
      <x:c r="L408" s="33" t="str">
        <x:v>Pharmacies</x:v>
      </x:c>
      <x:c r="M408" s="33" t="str">
        <x:v>Conakry (à vérifier)</x:v>
      </x:c>
      <x:c r="N408" s="33" t="str"/>
      <x:c r="O408" s="33" t="str"/>
      <x:c r="P408" s="33" t="str">
        <x:v>+224655157115</x:v>
      </x:c>
      <x:c r="Q408" s="33" t="str"/>
      <x:c r="R408" s="33" t="str"/>
      <x:c r="S408" s="33" t="str"/>
      <x:c r="T408" s="35" t="n">
        <x:v>9.5346691</x:v>
      </x:c>
      <x:c r="U408" s="35" t="n">
        <x:v>-13.6892882</x:v>
      </x:c>
      <x:c r="V408" s="33" t="str">
        <x:v>https://www.openstreetmap.org/node/5550523569</x:v>
      </x:c>
      <x:c r="W408" s="33" t="str">
        <x:v>node/5550523569</x:v>
      </x:c>
      <x:c r="X408" s="33" t="str">
        <x:v>review_required</x:v>
      </x:c>
      <x:c r="Y408" s="33" t="str">
        <x:v>pharmacie camayenne plage|conakry a verifier</x:v>
      </x:c>
      <x:c r="Z408" s="33" t="str">
        <x:v>224655157115</x:v>
      </x:c>
      <x:c r="AA408" s="33" t="str"/>
    </x:row>
    <x:row r="409">
      <x:c r="A409" s="30" t="str">
        <x:v>À vérifier</x:v>
      </x:c>
      <x:c r="B409" s="30" t="str"/>
      <x:c r="C409" s="31"/>
      <x:c r="D409" s="30" t="str">
        <x:v>Non vérifié</x:v>
      </x:c>
      <x:c r="E409" s="30" t="str"/>
      <x:c r="F409" s="30" t="str"/>
      <x:c r="G409" s="32" t="str"/>
      <x:c r="H409" s="33" t="str">
        <x:f>IF(I409&lt;&gt;"","Doublon possible","")</x:f>
      </x:c>
      <x:c r="I409" s="33" t="str">
        <x:f>IF(COUNTIFS($Y$9:$Y$678,Y409)&gt;1,"Nom + ville",IF(AND(Z409&lt;&gt;"",COUNTIFS($Z$9:$Z$678,Z409)&gt;1),"Téléphone",IF(AND(AA409&lt;&gt;"",COUNTIFS($AA$9:$AA$678,AA409)&gt;1),"Site web","")))</x:f>
      </x:c>
      <x:c r="J409" s="33" t="str">
        <x:v>Pharmacie Commadanyah lavage</x:v>
      </x:c>
      <x:c r="K409" s="33" t="str">
        <x:v>Santé</x:v>
      </x:c>
      <x:c r="L409" s="33" t="str">
        <x:v>Pharmacies</x:v>
      </x:c>
      <x:c r="M409" s="33" t="str">
        <x:v>Conakry (à vérifier)</x:v>
      </x:c>
      <x:c r="N409" s="33" t="str"/>
      <x:c r="O409" s="33" t="str"/>
      <x:c r="P409" s="33" t="str">
        <x:v>+224628704841</x:v>
      </x:c>
      <x:c r="Q409" s="33" t="str"/>
      <x:c r="R409" s="33" t="str"/>
      <x:c r="S409" s="33" t="str"/>
      <x:c r="T409" s="35" t="n">
        <x:v>9.5689457</x:v>
      </x:c>
      <x:c r="U409" s="35" t="n">
        <x:v>-13.6581767</x:v>
      </x:c>
      <x:c r="V409" s="33" t="str">
        <x:v>https://www.openstreetmap.org/node/5550490801</x:v>
      </x:c>
      <x:c r="W409" s="33" t="str">
        <x:v>node/5550490801</x:v>
      </x:c>
      <x:c r="X409" s="33" t="str">
        <x:v>review_required</x:v>
      </x:c>
      <x:c r="Y409" s="33" t="str">
        <x:v>pharmacie commadanyah lavage|conakry a verifier</x:v>
      </x:c>
      <x:c r="Z409" s="33" t="str">
        <x:v>224628704841</x:v>
      </x:c>
      <x:c r="AA409" s="33" t="str"/>
    </x:row>
    <x:row r="410">
      <x:c r="A410" s="30" t="str">
        <x:v>À vérifier</x:v>
      </x:c>
      <x:c r="B410" s="30" t="str"/>
      <x:c r="C410" s="31"/>
      <x:c r="D410" s="30" t="str">
        <x:v>Non vérifié</x:v>
      </x:c>
      <x:c r="E410" s="30" t="str"/>
      <x:c r="F410" s="30" t="str"/>
      <x:c r="G410" s="32" t="str"/>
      <x:c r="H410" s="33" t="str">
        <x:f>IF(I410&lt;&gt;"","Doublon possible","")</x:f>
      </x:c>
      <x:c r="I410" s="33" t="str">
        <x:f>IF(COUNTIFS($Y$9:$Y$678,Y410)&gt;1,"Nom + ville",IF(AND(Z410&lt;&gt;"",COUNTIFS($Z$9:$Z$678,Z410)&gt;1),"Téléphone",IF(AND(AA410&lt;&gt;"",COUNTIFS($AA$9:$AA$678,AA410)&gt;1),"Site web","")))</x:f>
      </x:c>
      <x:c r="J410" s="33" t="str">
        <x:v>Pharmacie Dansaya</x:v>
      </x:c>
      <x:c r="K410" s="33" t="str">
        <x:v>Santé</x:v>
      </x:c>
      <x:c r="L410" s="33" t="str">
        <x:v>Pharmacies</x:v>
      </x:c>
      <x:c r="M410" s="33" t="str">
        <x:v>Conakry (à vérifier)</x:v>
      </x:c>
      <x:c r="N410" s="33" t="str"/>
      <x:c r="O410" s="33" t="str"/>
      <x:c r="P410" s="33" t="str">
        <x:v>+224621848460</x:v>
      </x:c>
      <x:c r="Q410" s="33" t="str"/>
      <x:c r="R410" s="33" t="str"/>
      <x:c r="S410" s="33" t="str"/>
      <x:c r="T410" s="35" t="n">
        <x:v>9.6573367</x:v>
      </x:c>
      <x:c r="U410" s="35" t="n">
        <x:v>-13.5395267</x:v>
      </x:c>
      <x:c r="V410" s="33" t="str">
        <x:v>https://www.openstreetmap.org/node/5809042199</x:v>
      </x:c>
      <x:c r="W410" s="33" t="str">
        <x:v>node/5809042199</x:v>
      </x:c>
      <x:c r="X410" s="33" t="str">
        <x:v>review_required</x:v>
      </x:c>
      <x:c r="Y410" s="33" t="str">
        <x:v>pharmacie dansaya|conakry a verifier</x:v>
      </x:c>
      <x:c r="Z410" s="33" t="str">
        <x:v>224621848460</x:v>
      </x:c>
      <x:c r="AA410" s="33" t="str"/>
    </x:row>
    <x:row r="411">
      <x:c r="A411" s="30" t="str">
        <x:v>À vérifier</x:v>
      </x:c>
      <x:c r="B411" s="30" t="str"/>
      <x:c r="C411" s="31"/>
      <x:c r="D411" s="30" t="str">
        <x:v>Non vérifié</x:v>
      </x:c>
      <x:c r="E411" s="30" t="str"/>
      <x:c r="F411" s="30" t="str"/>
      <x:c r="G411" s="32" t="str"/>
      <x:c r="H411" s="33" t="str">
        <x:f>IF(I411&lt;&gt;"","Doublon possible","")</x:f>
      </x:c>
      <x:c r="I411" s="33" t="str">
        <x:f>IF(COUNTIFS($Y$9:$Y$678,Y411)&gt;1,"Nom + ville",IF(AND(Z411&lt;&gt;"",COUNTIFS($Z$9:$Z$678,Z411)&gt;1),"Téléphone",IF(AND(AA411&lt;&gt;"",COUNTIFS($AA$9:$AA$678,AA411)&gt;1),"Site web","")))</x:f>
      </x:c>
      <x:c r="J411" s="33" t="str">
        <x:v>Pharmacie Dar Es Salam Bandougoula</x:v>
      </x:c>
      <x:c r="K411" s="33" t="str">
        <x:v>Santé</x:v>
      </x:c>
      <x:c r="L411" s="33" t="str">
        <x:v>Pharmacies</x:v>
      </x:c>
      <x:c r="M411" s="33" t="str">
        <x:v>Conakry (à vérifier)</x:v>
      </x:c>
      <x:c r="N411" s="33" t="str"/>
      <x:c r="O411" s="33" t="str"/>
      <x:c r="P411" s="33" t="str">
        <x:v>+224628452497</x:v>
      </x:c>
      <x:c r="Q411" s="33" t="str"/>
      <x:c r="R411" s="33" t="str"/>
      <x:c r="S411" s="33" t="str"/>
      <x:c r="T411" s="35" t="n">
        <x:v>9.5575424</x:v>
      </x:c>
      <x:c r="U411" s="35" t="n">
        <x:v>-13.6486419</x:v>
      </x:c>
      <x:c r="V411" s="33" t="str">
        <x:v>https://www.openstreetmap.org/node/5784049269</x:v>
      </x:c>
      <x:c r="W411" s="33" t="str">
        <x:v>node/5784049269</x:v>
      </x:c>
      <x:c r="X411" s="33" t="str">
        <x:v>review_required</x:v>
      </x:c>
      <x:c r="Y411" s="33" t="str">
        <x:v>pharmacie dar es salam bandougoula|conakry a verifier</x:v>
      </x:c>
      <x:c r="Z411" s="33" t="str">
        <x:v>224628452497</x:v>
      </x:c>
      <x:c r="AA411" s="33" t="str"/>
    </x:row>
    <x:row r="412">
      <x:c r="A412" s="30" t="str">
        <x:v>À vérifier</x:v>
      </x:c>
      <x:c r="B412" s="30" t="str"/>
      <x:c r="C412" s="31"/>
      <x:c r="D412" s="30" t="str">
        <x:v>Non vérifié</x:v>
      </x:c>
      <x:c r="E412" s="30" t="str"/>
      <x:c r="F412" s="30" t="str"/>
      <x:c r="G412" s="32" t="str"/>
      <x:c r="H412" s="33" t="str">
        <x:f>IF(I412&lt;&gt;"","Doublon possible","")</x:f>
      </x:c>
      <x:c r="I412" s="33" t="str">
        <x:f>IF(COUNTIFS($Y$9:$Y$678,Y412)&gt;1,"Nom + ville",IF(AND(Z412&lt;&gt;"",COUNTIFS($Z$9:$Z$678,Z412)&gt;1),"Téléphone",IF(AND(AA412&lt;&gt;"",COUNTIFS($AA$9:$AA$678,AA412)&gt;1),"Site web","")))</x:f>
      </x:c>
      <x:c r="J412" s="33" t="str">
        <x:v>pharmacie de la Garde</x:v>
      </x:c>
      <x:c r="K412" s="33" t="str">
        <x:v>Santé</x:v>
      </x:c>
      <x:c r="L412" s="33" t="str">
        <x:v>Pharmacies</x:v>
      </x:c>
      <x:c r="M412" s="33" t="str">
        <x:v>Conakry (à vérifier)</x:v>
      </x:c>
      <x:c r="N412" s="33" t="str"/>
      <x:c r="O412" s="33" t="str"/>
      <x:c r="P412" s="33" t="str">
        <x:v>+224623525109</x:v>
      </x:c>
      <x:c r="Q412" s="33" t="str">
        <x:v>bouraouendeno@gmail.com</x:v>
      </x:c>
      <x:c r="R412" s="33" t="str"/>
      <x:c r="S412" s="33" t="str"/>
      <x:c r="T412" s="35" t="n">
        <x:v>9.5366791</x:v>
      </x:c>
      <x:c r="U412" s="35" t="n">
        <x:v>-13.6874231</x:v>
      </x:c>
      <x:c r="V412" s="33" t="str">
        <x:v>https://www.openstreetmap.org/node/5550525776</x:v>
      </x:c>
      <x:c r="W412" s="33" t="str">
        <x:v>node/5550525776</x:v>
      </x:c>
      <x:c r="X412" s="33" t="str">
        <x:v>review_required</x:v>
      </x:c>
      <x:c r="Y412" s="33" t="str">
        <x:v>pharmacie de la garde|conakry a verifier</x:v>
      </x:c>
      <x:c r="Z412" s="33" t="str">
        <x:v>224623525109</x:v>
      </x:c>
      <x:c r="AA412" s="33" t="str"/>
    </x:row>
    <x:row r="413">
      <x:c r="A413" s="30" t="str">
        <x:v>À vérifier</x:v>
      </x:c>
      <x:c r="B413" s="30" t="str"/>
      <x:c r="C413" s="31"/>
      <x:c r="D413" s="30" t="str">
        <x:v>Non vérifié</x:v>
      </x:c>
      <x:c r="E413" s="30" t="str"/>
      <x:c r="F413" s="30" t="str"/>
      <x:c r="G413" s="32" t="str"/>
      <x:c r="H413" s="33" t="str">
        <x:f>IF(I413&lt;&gt;"","Doublon possible","")</x:f>
      </x:c>
      <x:c r="I413" s="33" t="str">
        <x:f>IF(COUNTIFS($Y$9:$Y$678,Y413)&gt;1,"Nom + ville",IF(AND(Z413&lt;&gt;"",COUNTIFS($Z$9:$Z$678,Z413)&gt;1),"Téléphone",IF(AND(AA413&lt;&gt;"",COUNTIFS($AA$9:$AA$678,AA413)&gt;1),"Site web","")))</x:f>
      </x:c>
      <x:c r="J413" s="33" t="str">
        <x:v>Pharmacie de la Jumelle</x:v>
      </x:c>
      <x:c r="K413" s="33" t="str">
        <x:v>Santé</x:v>
      </x:c>
      <x:c r="L413" s="33" t="str">
        <x:v>Pharmacies</x:v>
      </x:c>
      <x:c r="M413" s="33" t="str">
        <x:v>Conakry (à vérifier)</x:v>
      </x:c>
      <x:c r="N413" s="33" t="str"/>
      <x:c r="O413" s="33" t="str"/>
      <x:c r="P413" s="33" t="str">
        <x:v>+224628269212</x:v>
      </x:c>
      <x:c r="Q413" s="33" t="str"/>
      <x:c r="R413" s="33" t="str"/>
      <x:c r="S413" s="33" t="str"/>
      <x:c r="T413" s="35" t="n">
        <x:v>9.5495986</x:v>
      </x:c>
      <x:c r="U413" s="35" t="n">
        <x:v>-13.6739178</x:v>
      </x:c>
      <x:c r="V413" s="33" t="str">
        <x:v>https://www.openstreetmap.org/node/5485089549</x:v>
      </x:c>
      <x:c r="W413" s="33" t="str">
        <x:v>node/5485089549</x:v>
      </x:c>
      <x:c r="X413" s="33" t="str">
        <x:v>review_required</x:v>
      </x:c>
      <x:c r="Y413" s="33" t="str">
        <x:v>pharmacie de la jumelle|conakry a verifier</x:v>
      </x:c>
      <x:c r="Z413" s="33" t="str">
        <x:v>224628269212</x:v>
      </x:c>
      <x:c r="AA413" s="33" t="str"/>
    </x:row>
    <x:row r="414">
      <x:c r="A414" s="30" t="str">
        <x:v>À vérifier</x:v>
      </x:c>
      <x:c r="B414" s="30" t="str"/>
      <x:c r="C414" s="31"/>
      <x:c r="D414" s="30" t="str">
        <x:v>Non vérifié</x:v>
      </x:c>
      <x:c r="E414" s="30" t="str"/>
      <x:c r="F414" s="30" t="str"/>
      <x:c r="G414" s="32" t="str"/>
      <x:c r="H414" s="33" t="str">
        <x:f>IF(I414&lt;&gt;"","Doublon possible","")</x:f>
      </x:c>
      <x:c r="I414" s="33" t="str">
        <x:f>IF(COUNTIFS($Y$9:$Y$678,Y414)&gt;1,"Nom + ville",IF(AND(Z414&lt;&gt;"",COUNTIFS($Z$9:$Z$678,Z414)&gt;1),"Téléphone",IF(AND(AA414&lt;&gt;"",COUNTIFS($AA$9:$AA$678,AA414)&gt;1),"Site web","")))</x:f>
      </x:c>
      <x:c r="J414" s="33" t="str">
        <x:v>Pharmacie Debo</x:v>
      </x:c>
      <x:c r="K414" s="33" t="str">
        <x:v>Santé</x:v>
      </x:c>
      <x:c r="L414" s="33" t="str">
        <x:v>Pharmacies</x:v>
      </x:c>
      <x:c r="M414" s="33" t="str">
        <x:v>Conakry (à vérifier)</x:v>
      </x:c>
      <x:c r="N414" s="33" t="str"/>
      <x:c r="O414" s="33" t="str"/>
      <x:c r="P414" s="33" t="str">
        <x:v>+224657238464</x:v>
      </x:c>
      <x:c r="Q414" s="33" t="str"/>
      <x:c r="R414" s="33" t="str"/>
      <x:c r="S414" s="33" t="str"/>
      <x:c r="T414" s="35" t="n">
        <x:v>9.6799262</x:v>
      </x:c>
      <x:c r="U414" s="35" t="n">
        <x:v>-13.5369078</x:v>
      </x:c>
      <x:c r="V414" s="33" t="str">
        <x:v>https://www.openstreetmap.org/node/6023245819</x:v>
      </x:c>
      <x:c r="W414" s="33" t="str">
        <x:v>node/6023245819</x:v>
      </x:c>
      <x:c r="X414" s="33" t="str">
        <x:v>review_required</x:v>
      </x:c>
      <x:c r="Y414" s="33" t="str">
        <x:v>pharmacie debo|conakry a verifier</x:v>
      </x:c>
      <x:c r="Z414" s="33" t="str">
        <x:v>224657238464</x:v>
      </x:c>
      <x:c r="AA414" s="33" t="str"/>
    </x:row>
    <x:row r="415">
      <x:c r="A415" s="30" t="str">
        <x:v>À vérifier</x:v>
      </x:c>
      <x:c r="B415" s="30" t="str"/>
      <x:c r="C415" s="31"/>
      <x:c r="D415" s="30" t="str">
        <x:v>Non vérifié</x:v>
      </x:c>
      <x:c r="E415" s="30" t="str"/>
      <x:c r="F415" s="30" t="str"/>
      <x:c r="G415" s="32" t="str"/>
      <x:c r="H415" s="33" t="str">
        <x:f>IF(I415&lt;&gt;"","Doublon possible","")</x:f>
      </x:c>
      <x:c r="I415" s="33" t="str">
        <x:f>IF(COUNTIFS($Y$9:$Y$678,Y415)&gt;1,"Nom + ville",IF(AND(Z415&lt;&gt;"",COUNTIFS($Z$9:$Z$678,Z415)&gt;1),"Téléphone",IF(AND(AA415&lt;&gt;"",COUNTIFS($AA$9:$AA$678,AA415)&gt;1),"Site web","")))</x:f>
      </x:c>
      <x:c r="J415" s="33" t="str">
        <x:v>Pharmacie Diaka</x:v>
      </x:c>
      <x:c r="K415" s="33" t="str">
        <x:v>Santé</x:v>
      </x:c>
      <x:c r="L415" s="33" t="str">
        <x:v>Pharmacies</x:v>
      </x:c>
      <x:c r="M415" s="33" t="str">
        <x:v>Conakry (à vérifier)</x:v>
      </x:c>
      <x:c r="N415" s="33" t="str"/>
      <x:c r="O415" s="33" t="str"/>
      <x:c r="P415" s="33" t="str">
        <x:v>+224664268682</x:v>
      </x:c>
      <x:c r="Q415" s="33" t="str"/>
      <x:c r="R415" s="33" t="str"/>
      <x:c r="S415" s="33" t="str"/>
      <x:c r="T415" s="35" t="n">
        <x:v>9.5894558</x:v>
      </x:c>
      <x:c r="U415" s="35" t="n">
        <x:v>-13.6319544</x:v>
      </x:c>
      <x:c r="V415" s="33" t="str">
        <x:v>https://www.openstreetmap.org/node/4769726821</x:v>
      </x:c>
      <x:c r="W415" s="33" t="str">
        <x:v>node/4769726821</x:v>
      </x:c>
      <x:c r="X415" s="33" t="str">
        <x:v>review_required</x:v>
      </x:c>
      <x:c r="Y415" s="33" t="str">
        <x:v>pharmacie diaka|conakry a verifier</x:v>
      </x:c>
      <x:c r="Z415" s="33" t="str">
        <x:v>224664268682</x:v>
      </x:c>
      <x:c r="AA415" s="33" t="str"/>
    </x:row>
    <x:row r="416">
      <x:c r="A416" s="30" t="str">
        <x:v>À vérifier</x:v>
      </x:c>
      <x:c r="B416" s="30" t="str"/>
      <x:c r="C416" s="31"/>
      <x:c r="D416" s="30" t="str">
        <x:v>Non vérifié</x:v>
      </x:c>
      <x:c r="E416" s="30" t="str"/>
      <x:c r="F416" s="30" t="str"/>
      <x:c r="G416" s="32" t="str"/>
      <x:c r="H416" s="33" t="str">
        <x:f>IF(I416&lt;&gt;"","Doublon possible","")</x:f>
      </x:c>
      <x:c r="I416" s="33" t="str">
        <x:f>IF(COUNTIFS($Y$9:$Y$678,Y416)&gt;1,"Nom + ville",IF(AND(Z416&lt;&gt;"",COUNTIFS($Z$9:$Z$678,Z416)&gt;1),"Téléphone",IF(AND(AA416&lt;&gt;"",COUNTIFS($AA$9:$AA$678,AA416)&gt;1),"Site web","")))</x:f>
      </x:c>
      <x:c r="J416" s="33" t="str">
        <x:v>Pharmacie Diani</x:v>
      </x:c>
      <x:c r="K416" s="33" t="str">
        <x:v>Santé</x:v>
      </x:c>
      <x:c r="L416" s="33" t="str">
        <x:v>Pharmacies</x:v>
      </x:c>
      <x:c r="M416" s="33" t="str">
        <x:v>Conakry (à vérifier)</x:v>
      </x:c>
      <x:c r="N416" s="33" t="str"/>
      <x:c r="O416" s="33" t="str"/>
      <x:c r="P416" s="33" t="str">
        <x:v>+224622269742</x:v>
      </x:c>
      <x:c r="Q416" s="33" t="str">
        <x:v>cececamara2@gmail.com</x:v>
      </x:c>
      <x:c r="R416" s="33" t="str"/>
      <x:c r="S416" s="33" t="str"/>
      <x:c r="T416" s="35" t="n">
        <x:v>9.6150393</x:v>
      </x:c>
      <x:c r="U416" s="35" t="n">
        <x:v>-13.5883204</x:v>
      </x:c>
      <x:c r="V416" s="33" t="str">
        <x:v>https://www.openstreetmap.org/node/5629656816</x:v>
      </x:c>
      <x:c r="W416" s="33" t="str">
        <x:v>node/5629656816</x:v>
      </x:c>
      <x:c r="X416" s="33" t="str">
        <x:v>review_required</x:v>
      </x:c>
      <x:c r="Y416" s="33" t="str">
        <x:v>pharmacie diani|conakry a verifier</x:v>
      </x:c>
      <x:c r="Z416" s="33" t="str">
        <x:v>224622269742</x:v>
      </x:c>
      <x:c r="AA416" s="33" t="str"/>
    </x:row>
    <x:row r="417">
      <x:c r="A417" s="30" t="str">
        <x:v>À vérifier</x:v>
      </x:c>
      <x:c r="B417" s="30" t="str"/>
      <x:c r="C417" s="31"/>
      <x:c r="D417" s="30" t="str">
        <x:v>Non vérifié</x:v>
      </x:c>
      <x:c r="E417" s="30" t="str"/>
      <x:c r="F417" s="30" t="str"/>
      <x:c r="G417" s="32" t="str"/>
      <x:c r="H417" s="33" t="str">
        <x:f>IF(I417&lt;&gt;"","Doublon possible","")</x:f>
      </x:c>
      <x:c r="I417" s="33" t="str">
        <x:f>IF(COUNTIFS($Y$9:$Y$678,Y417)&gt;1,"Nom + ville",IF(AND(Z417&lt;&gt;"",COUNTIFS($Z$9:$Z$678,Z417)&gt;1),"Téléphone",IF(AND(AA417&lt;&gt;"",COUNTIFS($AA$9:$AA$678,AA417)&gt;1),"Site web","")))</x:f>
      </x:c>
      <x:c r="J417" s="33" t="str">
        <x:v>Pharmacie Dixinn Mosquée</x:v>
      </x:c>
      <x:c r="K417" s="33" t="str">
        <x:v>Santé</x:v>
      </x:c>
      <x:c r="L417" s="33" t="str">
        <x:v>Pharmacies</x:v>
      </x:c>
      <x:c r="M417" s="33" t="str">
        <x:v>Conakry (à vérifier)</x:v>
      </x:c>
      <x:c r="N417" s="33" t="str"/>
      <x:c r="O417" s="33" t="str"/>
      <x:c r="P417" s="33" t="str">
        <x:v>+224628348091</x:v>
      </x:c>
      <x:c r="Q417" s="33" t="str"/>
      <x:c r="R417" s="33" t="str"/>
      <x:c r="S417" s="33" t="str"/>
      <x:c r="T417" s="35" t="n">
        <x:v>9.5479063</x:v>
      </x:c>
      <x:c r="U417" s="35" t="n">
        <x:v>-13.6734577</x:v>
      </x:c>
      <x:c r="V417" s="33" t="str">
        <x:v>https://www.openstreetmap.org/node/5486301608</x:v>
      </x:c>
      <x:c r="W417" s="33" t="str">
        <x:v>node/5486301608</x:v>
      </x:c>
      <x:c r="X417" s="33" t="str">
        <x:v>review_required</x:v>
      </x:c>
      <x:c r="Y417" s="33" t="str">
        <x:v>pharmacie dixinn mosquee|conakry a verifier</x:v>
      </x:c>
      <x:c r="Z417" s="33" t="str">
        <x:v>224628348091</x:v>
      </x:c>
      <x:c r="AA417" s="33" t="str"/>
    </x:row>
    <x:row r="418">
      <x:c r="A418" s="30" t="str">
        <x:v>À vérifier</x:v>
      </x:c>
      <x:c r="B418" s="30" t="str"/>
      <x:c r="C418" s="31"/>
      <x:c r="D418" s="30" t="str">
        <x:v>Non vérifié</x:v>
      </x:c>
      <x:c r="E418" s="30" t="str"/>
      <x:c r="F418" s="30" t="str"/>
      <x:c r="G418" s="32" t="str"/>
      <x:c r="H418" s="33" t="str">
        <x:f>IF(I418&lt;&gt;"","Doublon possible","")</x:f>
      </x:c>
      <x:c r="I418" s="33" t="str">
        <x:f>IF(COUNTIFS($Y$9:$Y$678,Y418)&gt;1,"Nom + ville",IF(AND(Z418&lt;&gt;"",COUNTIFS($Z$9:$Z$678,Z418)&gt;1),"Téléphone",IF(AND(AA418&lt;&gt;"",COUNTIFS($AA$9:$AA$678,AA418)&gt;1),"Site web","")))</x:f>
      </x:c>
      <x:c r="J418" s="33" t="str">
        <x:v>Pharmacie Djaguissa</x:v>
      </x:c>
      <x:c r="K418" s="33" t="str">
        <x:v>Santé</x:v>
      </x:c>
      <x:c r="L418" s="33" t="str">
        <x:v>Pharmacies</x:v>
      </x:c>
      <x:c r="M418" s="33" t="str">
        <x:v>Conakry (à vérifier)</x:v>
      </x:c>
      <x:c r="N418" s="33" t="str"/>
      <x:c r="O418" s="33" t="str"/>
      <x:c r="P418" s="33" t="str">
        <x:v>623111103</x:v>
      </x:c>
      <x:c r="Q418" s="33" t="str"/>
      <x:c r="R418" s="33" t="str"/>
      <x:c r="S418" s="33" t="str"/>
      <x:c r="T418" s="35" t="n">
        <x:v>9.5858836</x:v>
      </x:c>
      <x:c r="U418" s="35" t="n">
        <x:v>-13.6371562</x:v>
      </x:c>
      <x:c r="V418" s="33" t="str">
        <x:v>https://www.openstreetmap.org/node/5511952777</x:v>
      </x:c>
      <x:c r="W418" s="33" t="str">
        <x:v>node/5511952777</x:v>
      </x:c>
      <x:c r="X418" s="33" t="str">
        <x:v>review_required</x:v>
      </x:c>
      <x:c r="Y418" s="33" t="str">
        <x:v>pharmacie djaguissa|conakry a verifier</x:v>
      </x:c>
      <x:c r="Z418" s="33" t="str">
        <x:v>224623111103</x:v>
      </x:c>
      <x:c r="AA418" s="33" t="str"/>
    </x:row>
    <x:row r="419">
      <x:c r="A419" s="30" t="str">
        <x:v>À vérifier</x:v>
      </x:c>
      <x:c r="B419" s="30" t="str"/>
      <x:c r="C419" s="31"/>
      <x:c r="D419" s="30" t="str">
        <x:v>Non vérifié</x:v>
      </x:c>
      <x:c r="E419" s="30" t="str"/>
      <x:c r="F419" s="30" t="str"/>
      <x:c r="G419" s="32" t="str"/>
      <x:c r="H419" s="33" t="str">
        <x:f>IF(I419&lt;&gt;"","Doublon possible","")</x:f>
      </x:c>
      <x:c r="I419" s="33" t="str">
        <x:f>IF(COUNTIFS($Y$9:$Y$678,Y419)&gt;1,"Nom + ville",IF(AND(Z419&lt;&gt;"",COUNTIFS($Z$9:$Z$678,Z419)&gt;1),"Téléphone",IF(AND(AA419&lt;&gt;"",COUNTIFS($AA$9:$AA$678,AA419)&gt;1),"Site web","")))</x:f>
      </x:c>
      <x:c r="J419" s="33" t="str">
        <x:v>Pharmacie Djoliba</x:v>
      </x:c>
      <x:c r="K419" s="33" t="str">
        <x:v>Santé</x:v>
      </x:c>
      <x:c r="L419" s="33" t="str">
        <x:v>Pharmacies</x:v>
      </x:c>
      <x:c r="M419" s="33" t="str">
        <x:v>Conakry (à vérifier)</x:v>
      </x:c>
      <x:c r="N419" s="33" t="str"/>
      <x:c r="O419" s="33" t="str"/>
      <x:c r="P419" s="33" t="str">
        <x:v>+224628520235</x:v>
      </x:c>
      <x:c r="Q419" s="33" t="str"/>
      <x:c r="R419" s="33" t="str"/>
      <x:c r="S419" s="33" t="str"/>
      <x:c r="T419" s="35" t="n">
        <x:v>9.5601957</x:v>
      </x:c>
      <x:c r="U419" s="35" t="n">
        <x:v>-13.6407261</x:v>
      </x:c>
      <x:c r="V419" s="33" t="str">
        <x:v>https://www.openstreetmap.org/node/5494058812</x:v>
      </x:c>
      <x:c r="W419" s="33" t="str">
        <x:v>node/5494058812</x:v>
      </x:c>
      <x:c r="X419" s="33" t="str">
        <x:v>review_required</x:v>
      </x:c>
      <x:c r="Y419" s="33" t="str">
        <x:v>pharmacie djoliba|conakry a verifier</x:v>
      </x:c>
      <x:c r="Z419" s="33" t="str">
        <x:v>224628520235</x:v>
      </x:c>
      <x:c r="AA419" s="33" t="str"/>
    </x:row>
    <x:row r="420">
      <x:c r="A420" s="30" t="str">
        <x:v>À vérifier</x:v>
      </x:c>
      <x:c r="B420" s="30" t="str"/>
      <x:c r="C420" s="31"/>
      <x:c r="D420" s="30" t="str">
        <x:v>Non vérifié</x:v>
      </x:c>
      <x:c r="E420" s="30" t="str"/>
      <x:c r="F420" s="30" t="str"/>
      <x:c r="G420" s="32" t="str"/>
      <x:c r="H420" s="33" t="str">
        <x:f>IF(I420&lt;&gt;"","Doublon possible","")</x:f>
      </x:c>
      <x:c r="I420" s="33" t="str">
        <x:f>IF(COUNTIFS($Y$9:$Y$678,Y420)&gt;1,"Nom + ville",IF(AND(Z420&lt;&gt;"",COUNTIFS($Z$9:$Z$678,Z420)&gt;1),"Téléphone",IF(AND(AA420&lt;&gt;"",COUNTIFS($AA$9:$AA$678,AA420)&gt;1),"Site web","")))</x:f>
      </x:c>
      <x:c r="J420" s="33" t="str">
        <x:v>Pharmacie Djounkoun</x:v>
      </x:c>
      <x:c r="K420" s="33" t="str">
        <x:v>Santé</x:v>
      </x:c>
      <x:c r="L420" s="33" t="str">
        <x:v>Pharmacies</x:v>
      </x:c>
      <x:c r="M420" s="33" t="str">
        <x:v>Conakry (à vérifier)</x:v>
      </x:c>
      <x:c r="N420" s="33" t="str"/>
      <x:c r="O420" s="33" t="str"/>
      <x:c r="P420" s="33" t="str">
        <x:v>+224628068106</x:v>
      </x:c>
      <x:c r="Q420" s="33" t="str"/>
      <x:c r="R420" s="33" t="str"/>
      <x:c r="S420" s="33" t="str"/>
      <x:c r="T420" s="35" t="n">
        <x:v>9.5846127</x:v>
      </x:c>
      <x:c r="U420" s="35" t="n">
        <x:v>-13.6398974</x:v>
      </x:c>
      <x:c r="V420" s="33" t="str">
        <x:v>https://www.openstreetmap.org/node/5511952671</x:v>
      </x:c>
      <x:c r="W420" s="33" t="str">
        <x:v>node/5511952671</x:v>
      </x:c>
      <x:c r="X420" s="33" t="str">
        <x:v>review_required</x:v>
      </x:c>
      <x:c r="Y420" s="33" t="str">
        <x:v>pharmacie djounkoun|conakry a verifier</x:v>
      </x:c>
      <x:c r="Z420" s="33" t="str">
        <x:v>224628068106</x:v>
      </x:c>
      <x:c r="AA420" s="33" t="str"/>
    </x:row>
    <x:row r="421">
      <x:c r="A421" s="30" t="str">
        <x:v>À vérifier</x:v>
      </x:c>
      <x:c r="B421" s="30" t="str"/>
      <x:c r="C421" s="31"/>
      <x:c r="D421" s="30" t="str">
        <x:v>Non vérifié</x:v>
      </x:c>
      <x:c r="E421" s="30" t="str"/>
      <x:c r="F421" s="30" t="str"/>
      <x:c r="G421" s="32" t="str"/>
      <x:c r="H421" s="33" t="str">
        <x:f>IF(I421&lt;&gt;"","Doublon possible","")</x:f>
      </x:c>
      <x:c r="I421" s="33" t="str">
        <x:f>IF(COUNTIFS($Y$9:$Y$678,Y421)&gt;1,"Nom + ville",IF(AND(Z421&lt;&gt;"",COUNTIFS($Z$9:$Z$678,Z421)&gt;1),"Téléphone",IF(AND(AA421&lt;&gt;"",COUNTIFS($AA$9:$AA$678,AA421)&gt;1),"Site web","")))</x:f>
      </x:c>
      <x:c r="J421" s="33" t="str">
        <x:v>Pharmacie Djédjé A. D</x:v>
      </x:c>
      <x:c r="K421" s="33" t="str">
        <x:v>Santé</x:v>
      </x:c>
      <x:c r="L421" s="33" t="str">
        <x:v>Pharmacies</x:v>
      </x:c>
      <x:c r="M421" s="33" t="str">
        <x:v>Conakry (à vérifier)</x:v>
      </x:c>
      <x:c r="N421" s="33" t="str"/>
      <x:c r="O421" s="33" t="str"/>
      <x:c r="P421" s="33" t="str">
        <x:v>+224631592124</x:v>
      </x:c>
      <x:c r="Q421" s="33" t="str"/>
      <x:c r="R421" s="33" t="str"/>
      <x:c r="S421" s="33" t="str"/>
      <x:c r="T421" s="35" t="n">
        <x:v>9.6233932</x:v>
      </x:c>
      <x:c r="U421" s="35" t="n">
        <x:v>-13.5804707</x:v>
      </x:c>
      <x:c r="V421" s="33" t="str">
        <x:v>https://www.openstreetmap.org/node/5501838386</x:v>
      </x:c>
      <x:c r="W421" s="33" t="str">
        <x:v>node/5501838386</x:v>
      </x:c>
      <x:c r="X421" s="33" t="str">
        <x:v>review_required</x:v>
      </x:c>
      <x:c r="Y421" s="33" t="str">
        <x:v>pharmacie djedje a d|conakry a verifier</x:v>
      </x:c>
      <x:c r="Z421" s="33" t="str">
        <x:v>224631592124</x:v>
      </x:c>
      <x:c r="AA421" s="33" t="str"/>
    </x:row>
    <x:row r="422">
      <x:c r="A422" s="30" t="str">
        <x:v>À vérifier</x:v>
      </x:c>
      <x:c r="B422" s="30" t="str"/>
      <x:c r="C422" s="31"/>
      <x:c r="D422" s="30" t="str">
        <x:v>Non vérifié</x:v>
      </x:c>
      <x:c r="E422" s="30" t="str"/>
      <x:c r="F422" s="30" t="str"/>
      <x:c r="G422" s="32" t="str"/>
      <x:c r="H422" s="33" t="str">
        <x:f>IF(I422&lt;&gt;"","Doublon possible","")</x:f>
      </x:c>
      <x:c r="I422" s="33" t="str">
        <x:f>IF(COUNTIFS($Y$9:$Y$678,Y422)&gt;1,"Nom + ville",IF(AND(Z422&lt;&gt;"",COUNTIFS($Z$9:$Z$678,Z422)&gt;1),"Téléphone",IF(AND(AA422&lt;&gt;"",COUNTIFS($AA$9:$AA$678,AA422)&gt;1),"Site web","")))</x:f>
      </x:c>
      <x:c r="J422" s="33" t="str">
        <x:v>Pharmacie du monde</x:v>
      </x:c>
      <x:c r="K422" s="33" t="str">
        <x:v>Santé</x:v>
      </x:c>
      <x:c r="L422" s="33" t="str">
        <x:v>Pharmacies</x:v>
      </x:c>
      <x:c r="M422" s="33" t="str">
        <x:v>Conakry (à vérifier)</x:v>
      </x:c>
      <x:c r="N422" s="33" t="str"/>
      <x:c r="O422" s="33" t="str"/>
      <x:c r="P422" s="33" t="str">
        <x:v>628148617</x:v>
      </x:c>
      <x:c r="Q422" s="33" t="str">
        <x:v>tms1970.monde@yahoo.fr</x:v>
      </x:c>
      <x:c r="R422" s="33" t="str"/>
      <x:c r="S422" s="33" t="str"/>
      <x:c r="T422" s="35" t="n">
        <x:v>9.7155322</x:v>
      </x:c>
      <x:c r="U422" s="35" t="n">
        <x:v>-13.5016213</x:v>
      </x:c>
      <x:c r="V422" s="33" t="str">
        <x:v>https://www.openstreetmap.org/node/5674021748</x:v>
      </x:c>
      <x:c r="W422" s="33" t="str">
        <x:v>node/5674021748</x:v>
      </x:c>
      <x:c r="X422" s="33" t="str">
        <x:v>review_required</x:v>
      </x:c>
      <x:c r="Y422" s="33" t="str">
        <x:v>pharmacie du monde|conakry a verifier</x:v>
      </x:c>
      <x:c r="Z422" s="33" t="str">
        <x:v>224628148617</x:v>
      </x:c>
      <x:c r="AA422" s="33" t="str"/>
    </x:row>
    <x:row r="423">
      <x:c r="A423" s="30" t="str">
        <x:v>À vérifier</x:v>
      </x:c>
      <x:c r="B423" s="30" t="str"/>
      <x:c r="C423" s="31"/>
      <x:c r="D423" s="30" t="str">
        <x:v>Non vérifié</x:v>
      </x:c>
      <x:c r="E423" s="30" t="str"/>
      <x:c r="F423" s="30" t="str"/>
      <x:c r="G423" s="32" t="str"/>
      <x:c r="H423" s="33" t="str">
        <x:f>IF(I423&lt;&gt;"","Doublon possible","")</x:f>
      </x:c>
      <x:c r="I423" s="33" t="str">
        <x:f>IF(COUNTIFS($Y$9:$Y$678,Y423)&gt;1,"Nom + ville",IF(AND(Z423&lt;&gt;"",COUNTIFS($Z$9:$Z$678,Z423)&gt;1),"Téléphone",IF(AND(AA423&lt;&gt;"",COUNTIFS($AA$9:$AA$678,AA423)&gt;1),"Site web","")))</x:f>
      </x:c>
      <x:c r="J423" s="33" t="str">
        <x:v>Pharmacie du progrès</x:v>
      </x:c>
      <x:c r="K423" s="33" t="str">
        <x:v>Santé</x:v>
      </x:c>
      <x:c r="L423" s="33" t="str">
        <x:v>Pharmacies</x:v>
      </x:c>
      <x:c r="M423" s="33" t="str">
        <x:v>Conakry (à vérifier)</x:v>
      </x:c>
      <x:c r="N423" s="33" t="str"/>
      <x:c r="O423" s="33" t="str"/>
      <x:c r="P423" s="33" t="str">
        <x:v>620545150</x:v>
      </x:c>
      <x:c r="Q423" s="33" t="str"/>
      <x:c r="R423" s="33" t="str"/>
      <x:c r="S423" s="33" t="str"/>
      <x:c r="T423" s="35" t="n">
        <x:v>9.6680819</x:v>
      </x:c>
      <x:c r="U423" s="35" t="n">
        <x:v>-13.5569811</x:v>
      </x:c>
      <x:c r="V423" s="33" t="str">
        <x:v>https://www.openstreetmap.org/node/6902240635</x:v>
      </x:c>
      <x:c r="W423" s="33" t="str">
        <x:v>node/6902240635</x:v>
      </x:c>
      <x:c r="X423" s="33" t="str">
        <x:v>review_required</x:v>
      </x:c>
      <x:c r="Y423" s="33" t="str">
        <x:v>pharmacie du progres|conakry a verifier</x:v>
      </x:c>
      <x:c r="Z423" s="33" t="str">
        <x:v>224620545150</x:v>
      </x:c>
      <x:c r="AA423" s="33" t="str"/>
    </x:row>
    <x:row r="424">
      <x:c r="A424" s="30" t="str">
        <x:v>À vérifier</x:v>
      </x:c>
      <x:c r="B424" s="30" t="str"/>
      <x:c r="C424" s="31"/>
      <x:c r="D424" s="30" t="str">
        <x:v>Non vérifié</x:v>
      </x:c>
      <x:c r="E424" s="30" t="str"/>
      <x:c r="F424" s="30" t="str"/>
      <x:c r="G424" s="32" t="str"/>
      <x:c r="H424" s="33" t="str">
        <x:f>IF(I424&lt;&gt;"","Doublon possible","")</x:f>
      </x:c>
      <x:c r="I424" s="33" t="str">
        <x:f>IF(COUNTIFS($Y$9:$Y$678,Y424)&gt;1,"Nom + ville",IF(AND(Z424&lt;&gt;"",COUNTIFS($Z$9:$Z$678,Z424)&gt;1),"Téléphone",IF(AND(AA424&lt;&gt;"",COUNTIFS($AA$9:$AA$678,AA424)&gt;1),"Site web","")))</x:f>
      </x:c>
      <x:c r="J424" s="33" t="str">
        <x:v>Pharmacie du Stade</x:v>
      </x:c>
      <x:c r="K424" s="33" t="str">
        <x:v>Santé</x:v>
      </x:c>
      <x:c r="L424" s="33" t="str">
        <x:v>Pharmacies</x:v>
      </x:c>
      <x:c r="M424" s="33" t="str">
        <x:v>Conakry (à vérifier)</x:v>
      </x:c>
      <x:c r="N424" s="33" t="str"/>
      <x:c r="O424" s="33" t="str"/>
      <x:c r="P424" s="33" t="str">
        <x:v>+224621601410</x:v>
      </x:c>
      <x:c r="Q424" s="33" t="str"/>
      <x:c r="R424" s="33" t="str"/>
      <x:c r="S424" s="33" t="str"/>
      <x:c r="T424" s="35" t="n">
        <x:v>9.5479298</x:v>
      </x:c>
      <x:c r="U424" s="35" t="n">
        <x:v>-13.6753347</x:v>
      </x:c>
      <x:c r="V424" s="33" t="str">
        <x:v>https://www.openstreetmap.org/node/5485089548</x:v>
      </x:c>
      <x:c r="W424" s="33" t="str">
        <x:v>node/5485089548</x:v>
      </x:c>
      <x:c r="X424" s="33" t="str">
        <x:v>review_required</x:v>
      </x:c>
      <x:c r="Y424" s="33" t="str">
        <x:v>pharmacie du stade|conakry a verifier</x:v>
      </x:c>
      <x:c r="Z424" s="33" t="str">
        <x:v>224621601410</x:v>
      </x:c>
      <x:c r="AA424" s="33" t="str"/>
    </x:row>
    <x:row r="425">
      <x:c r="A425" s="30" t="str">
        <x:v>À vérifier</x:v>
      </x:c>
      <x:c r="B425" s="30" t="str"/>
      <x:c r="C425" s="31"/>
      <x:c r="D425" s="30" t="str">
        <x:v>Non vérifié</x:v>
      </x:c>
      <x:c r="E425" s="30" t="str"/>
      <x:c r="F425" s="30" t="str"/>
      <x:c r="G425" s="32" t="str"/>
      <x:c r="H425" s="33" t="str">
        <x:f>IF(I425&lt;&gt;"","Doublon possible","")</x:f>
      </x:c>
      <x:c r="I425" s="33" t="str">
        <x:f>IF(COUNTIFS($Y$9:$Y$678,Y425)&gt;1,"Nom + ville",IF(AND(Z425&lt;&gt;"",COUNTIFS($Z$9:$Z$678,Z425)&gt;1),"Téléphone",IF(AND(AA425&lt;&gt;"",COUNTIFS($AA$9:$AA$678,AA425)&gt;1),"Site web","")))</x:f>
      </x:c>
      <x:c r="J425" s="33" t="str">
        <x:v>Pharmacie du Temps</x:v>
      </x:c>
      <x:c r="K425" s="33" t="str">
        <x:v>Santé</x:v>
      </x:c>
      <x:c r="L425" s="33" t="str">
        <x:v>Pharmacies</x:v>
      </x:c>
      <x:c r="M425" s="33" t="str">
        <x:v>Conakry (à vérifier)</x:v>
      </x:c>
      <x:c r="N425" s="33" t="str"/>
      <x:c r="O425" s="33" t="str"/>
      <x:c r="P425" s="33" t="str">
        <x:v>+224627540059</x:v>
      </x:c>
      <x:c r="Q425" s="33" t="str"/>
      <x:c r="R425" s="33" t="str"/>
      <x:c r="S425" s="33" t="str"/>
      <x:c r="T425" s="35" t="n">
        <x:v>9.6841673</x:v>
      </x:c>
      <x:c r="U425" s="35" t="n">
        <x:v>-13.513391</x:v>
      </x:c>
      <x:c r="V425" s="33" t="str">
        <x:v>https://www.openstreetmap.org/node/5647529269</x:v>
      </x:c>
      <x:c r="W425" s="33" t="str">
        <x:v>node/5647529269</x:v>
      </x:c>
      <x:c r="X425" s="33" t="str">
        <x:v>review_required</x:v>
      </x:c>
      <x:c r="Y425" s="33" t="str">
        <x:v>pharmacie du temps|conakry a verifier</x:v>
      </x:c>
      <x:c r="Z425" s="33" t="str">
        <x:v>224627540059</x:v>
      </x:c>
      <x:c r="AA425" s="33" t="str"/>
    </x:row>
    <x:row r="426">
      <x:c r="A426" s="30" t="str">
        <x:v>À vérifier</x:v>
      </x:c>
      <x:c r="B426" s="30" t="str"/>
      <x:c r="C426" s="31"/>
      <x:c r="D426" s="30" t="str">
        <x:v>Non vérifié</x:v>
      </x:c>
      <x:c r="E426" s="30" t="str"/>
      <x:c r="F426" s="30" t="str"/>
      <x:c r="G426" s="32" t="str"/>
      <x:c r="H426" s="33" t="str">
        <x:f>IF(I426&lt;&gt;"","Doublon possible","")</x:f>
      </x:c>
      <x:c r="I426" s="33" t="str">
        <x:f>IF(COUNTIFS($Y$9:$Y$678,Y426)&gt;1,"Nom + ville",IF(AND(Z426&lt;&gt;"",COUNTIFS($Z$9:$Z$678,Z426)&gt;1),"Téléphone",IF(AND(AA426&lt;&gt;"",COUNTIFS($AA$9:$AA$678,AA426)&gt;1),"Site web","")))</x:f>
      </x:c>
      <x:c r="J426" s="33" t="str">
        <x:v>Pharmacie et cabinet de soins</x:v>
      </x:c>
      <x:c r="K426" s="33" t="str">
        <x:v>Santé</x:v>
      </x:c>
      <x:c r="L426" s="33" t="str">
        <x:v>Pharmacies</x:v>
      </x:c>
      <x:c r="M426" s="33" t="str">
        <x:v>Conakry (à vérifier)</x:v>
      </x:c>
      <x:c r="N426" s="33" t="str"/>
      <x:c r="O426" s="33" t="str"/>
      <x:c r="P426" s="33" t="str">
        <x:v>+224664362288</x:v>
      </x:c>
      <x:c r="Q426" s="33" t="str"/>
      <x:c r="R426" s="33" t="str"/>
      <x:c r="S426" s="33" t="str"/>
      <x:c r="T426" s="35" t="n">
        <x:v>9.5962011</x:v>
      </x:c>
      <x:c r="U426" s="35" t="n">
        <x:v>-13.6232819</x:v>
      </x:c>
      <x:c r="V426" s="33" t="str">
        <x:v>https://www.openstreetmap.org/node/6037441526</x:v>
      </x:c>
      <x:c r="W426" s="33" t="str">
        <x:v>node/6037441526</x:v>
      </x:c>
      <x:c r="X426" s="33" t="str">
        <x:v>review_required</x:v>
      </x:c>
      <x:c r="Y426" s="33" t="str">
        <x:v>pharmacie et cabinet de soins|conakry a verifier</x:v>
      </x:c>
      <x:c r="Z426" s="33" t="str">
        <x:v>224664362288</x:v>
      </x:c>
      <x:c r="AA426" s="33" t="str"/>
    </x:row>
    <x:row r="427">
      <x:c r="A427" s="30" t="str">
        <x:v>À vérifier</x:v>
      </x:c>
      <x:c r="B427" s="30" t="str"/>
      <x:c r="C427" s="31"/>
      <x:c r="D427" s="30" t="str">
        <x:v>Non vérifié</x:v>
      </x:c>
      <x:c r="E427" s="30" t="str"/>
      <x:c r="F427" s="30" t="str"/>
      <x:c r="G427" s="32" t="str"/>
      <x:c r="H427" s="33" t="str">
        <x:f>IF(I427&lt;&gt;"","Doublon possible","")</x:f>
      </x:c>
      <x:c r="I427" s="33" t="str">
        <x:f>IF(COUNTIFS($Y$9:$Y$678,Y427)&gt;1,"Nom + ville",IF(AND(Z427&lt;&gt;"",COUNTIFS($Z$9:$Z$678,Z427)&gt;1),"Téléphone",IF(AND(AA427&lt;&gt;"",COUNTIFS($AA$9:$AA$678,AA427)&gt;1),"Site web","")))</x:f>
      </x:c>
      <x:c r="J427" s="33" t="str">
        <x:v>Pharmacie Faimmar</x:v>
      </x:c>
      <x:c r="K427" s="33" t="str">
        <x:v>Santé</x:v>
      </x:c>
      <x:c r="L427" s="33" t="str">
        <x:v>Pharmacies</x:v>
      </x:c>
      <x:c r="M427" s="33" t="str">
        <x:v>Conakry (à vérifier)</x:v>
      </x:c>
      <x:c r="N427" s="33" t="str"/>
      <x:c r="O427" s="33" t="str"/>
      <x:c r="P427" s="33" t="str">
        <x:v>+224660446322</x:v>
      </x:c>
      <x:c r="Q427" s="33" t="str"/>
      <x:c r="R427" s="33" t="str"/>
      <x:c r="S427" s="33" t="str"/>
      <x:c r="T427" s="35" t="n">
        <x:v>9.6411019</x:v>
      </x:c>
      <x:c r="U427" s="35" t="n">
        <x:v>-13.609903</x:v>
      </x:c>
      <x:c r="V427" s="33" t="str">
        <x:v>https://www.openstreetmap.org/node/5522081622</x:v>
      </x:c>
      <x:c r="W427" s="33" t="str">
        <x:v>node/5522081622</x:v>
      </x:c>
      <x:c r="X427" s="33" t="str">
        <x:v>review_required</x:v>
      </x:c>
      <x:c r="Y427" s="33" t="str">
        <x:v>pharmacie faimmar|conakry a verifier</x:v>
      </x:c>
      <x:c r="Z427" s="33" t="str">
        <x:v>224660446322</x:v>
      </x:c>
      <x:c r="AA427" s="33" t="str"/>
    </x:row>
    <x:row r="428">
      <x:c r="A428" s="30" t="str">
        <x:v>À vérifier</x:v>
      </x:c>
      <x:c r="B428" s="30" t="str"/>
      <x:c r="C428" s="31"/>
      <x:c r="D428" s="30" t="str">
        <x:v>Non vérifié</x:v>
      </x:c>
      <x:c r="E428" s="30" t="str"/>
      <x:c r="F428" s="30" t="str"/>
      <x:c r="G428" s="32" t="str"/>
      <x:c r="H428" s="33" t="str">
        <x:f>IF(I428&lt;&gt;"","Doublon possible","")</x:f>
      </x:c>
      <x:c r="I428" s="33" t="str">
        <x:f>IF(COUNTIFS($Y$9:$Y$678,Y428)&gt;1,"Nom + ville",IF(AND(Z428&lt;&gt;"",COUNTIFS($Z$9:$Z$678,Z428)&gt;1),"Téléphone",IF(AND(AA428&lt;&gt;"",COUNTIFS($AA$9:$AA$678,AA428)&gt;1),"Site web","")))</x:f>
      </x:c>
      <x:c r="J428" s="33" t="str">
        <x:v>Pharmacie Fakoly</x:v>
      </x:c>
      <x:c r="K428" s="33" t="str">
        <x:v>Santé</x:v>
      </x:c>
      <x:c r="L428" s="33" t="str">
        <x:v>Pharmacies</x:v>
      </x:c>
      <x:c r="M428" s="33" t="str">
        <x:v>Conakry (à vérifier)</x:v>
      </x:c>
      <x:c r="N428" s="33" t="str"/>
      <x:c r="O428" s="33" t="str"/>
      <x:c r="P428" s="33" t="str">
        <x:v>+224623225381</x:v>
      </x:c>
      <x:c r="Q428" s="33" t="str"/>
      <x:c r="R428" s="33" t="str"/>
      <x:c r="S428" s="33" t="str"/>
      <x:c r="T428" s="35" t="n">
        <x:v>9.6032612</x:v>
      </x:c>
      <x:c r="U428" s="35" t="n">
        <x:v>-13.6057009</x:v>
      </x:c>
      <x:c r="V428" s="33" t="str">
        <x:v>https://www.openstreetmap.org/node/6051524128</x:v>
      </x:c>
      <x:c r="W428" s="33" t="str">
        <x:v>node/6051524128</x:v>
      </x:c>
      <x:c r="X428" s="33" t="str">
        <x:v>review_required</x:v>
      </x:c>
      <x:c r="Y428" s="33" t="str">
        <x:v>pharmacie fakoly|conakry a verifier</x:v>
      </x:c>
      <x:c r="Z428" s="33" t="str">
        <x:v>224623225381</x:v>
      </x:c>
      <x:c r="AA428" s="33" t="str"/>
    </x:row>
    <x:row r="429">
      <x:c r="A429" s="30" t="str">
        <x:v>À vérifier</x:v>
      </x:c>
      <x:c r="B429" s="30" t="str"/>
      <x:c r="C429" s="31"/>
      <x:c r="D429" s="30" t="str">
        <x:v>Non vérifié</x:v>
      </x:c>
      <x:c r="E429" s="30" t="str"/>
      <x:c r="F429" s="30" t="str"/>
      <x:c r="G429" s="32" t="str"/>
      <x:c r="H429" s="33" t="str">
        <x:f>IF(I429&lt;&gt;"","Doublon possible","")</x:f>
      </x:c>
      <x:c r="I429" s="33" t="str">
        <x:f>IF(COUNTIFS($Y$9:$Y$678,Y429)&gt;1,"Nom + ville",IF(AND(Z429&lt;&gt;"",COUNTIFS($Z$9:$Z$678,Z429)&gt;1),"Téléphone",IF(AND(AA429&lt;&gt;"",COUNTIFS($AA$9:$AA$678,AA429)&gt;1),"Site web","")))</x:f>
      </x:c>
      <x:c r="J429" s="33" t="str">
        <x:v>Pharmacie Fatoumata Bailo</x:v>
      </x:c>
      <x:c r="K429" s="33" t="str">
        <x:v>Santé</x:v>
      </x:c>
      <x:c r="L429" s="33" t="str">
        <x:v>Pharmacies</x:v>
      </x:c>
      <x:c r="M429" s="33" t="str">
        <x:v>Conakry (à vérifier)</x:v>
      </x:c>
      <x:c r="N429" s="33" t="str"/>
      <x:c r="O429" s="33" t="str"/>
      <x:c r="P429" s="33" t="str">
        <x:v>628581071</x:v>
      </x:c>
      <x:c r="Q429" s="33" t="str"/>
      <x:c r="R429" s="33" t="str"/>
      <x:c r="S429" s="33" t="str"/>
      <x:c r="T429" s="35" t="n">
        <x:v>9.6103926</x:v>
      </x:c>
      <x:c r="U429" s="35" t="n">
        <x:v>-13.6155987</x:v>
      </x:c>
      <x:c r="V429" s="33" t="str">
        <x:v>https://www.openstreetmap.org/node/6920502903</x:v>
      </x:c>
      <x:c r="W429" s="33" t="str">
        <x:v>node/6920502903</x:v>
      </x:c>
      <x:c r="X429" s="33" t="str">
        <x:v>review_required</x:v>
      </x:c>
      <x:c r="Y429" s="33" t="str">
        <x:v>pharmacie fatoumata bailo|conakry a verifier</x:v>
      </x:c>
      <x:c r="Z429" s="33" t="str">
        <x:v>224628581071</x:v>
      </x:c>
      <x:c r="AA429" s="33" t="str"/>
    </x:row>
    <x:row r="430">
      <x:c r="A430" s="30" t="str">
        <x:v>À vérifier</x:v>
      </x:c>
      <x:c r="B430" s="30" t="str"/>
      <x:c r="C430" s="31"/>
      <x:c r="D430" s="30" t="str">
        <x:v>Non vérifié</x:v>
      </x:c>
      <x:c r="E430" s="30" t="str"/>
      <x:c r="F430" s="30" t="str"/>
      <x:c r="G430" s="32" t="str"/>
      <x:c r="H430" s="33" t="str">
        <x:f>IF(I430&lt;&gt;"","Doublon possible","")</x:f>
      </x:c>
      <x:c r="I430" s="33" t="str">
        <x:f>IF(COUNTIFS($Y$9:$Y$678,Y430)&gt;1,"Nom + ville",IF(AND(Z430&lt;&gt;"",COUNTIFS($Z$9:$Z$678,Z430)&gt;1),"Téléphone",IF(AND(AA430&lt;&gt;"",COUNTIFS($AA$9:$AA$678,AA430)&gt;1),"Site web","")))</x:f>
      </x:c>
      <x:c r="J430" s="33" t="str">
        <x:v>Pharmacie FELLAH Nongo</x:v>
      </x:c>
      <x:c r="K430" s="33" t="str">
        <x:v>Santé</x:v>
      </x:c>
      <x:c r="L430" s="33" t="str">
        <x:v>Pharmacies</x:v>
      </x:c>
      <x:c r="M430" s="33" t="str">
        <x:v>Conakry (à vérifier)</x:v>
      </x:c>
      <x:c r="N430" s="33" t="str"/>
      <x:c r="O430" s="33" t="str"/>
      <x:c r="P430" s="33" t="str">
        <x:v>+224666519224</x:v>
      </x:c>
      <x:c r="Q430" s="33" t="str"/>
      <x:c r="R430" s="33" t="str"/>
      <x:c r="S430" s="33" t="str"/>
      <x:c r="T430" s="35" t="n">
        <x:v>9.623121</x:v>
      </x:c>
      <x:c r="U430" s="35" t="n">
        <x:v>-13.6378692</x:v>
      </x:c>
      <x:c r="V430" s="33" t="str">
        <x:v>https://www.openstreetmap.org/node/6871962995</x:v>
      </x:c>
      <x:c r="W430" s="33" t="str">
        <x:v>node/6871962995</x:v>
      </x:c>
      <x:c r="X430" s="33" t="str">
        <x:v>review_required</x:v>
      </x:c>
      <x:c r="Y430" s="33" t="str">
        <x:v>pharmacie fellah nongo|conakry a verifier</x:v>
      </x:c>
      <x:c r="Z430" s="33" t="str">
        <x:v>224666519224</x:v>
      </x:c>
      <x:c r="AA430" s="33" t="str"/>
    </x:row>
    <x:row r="431">
      <x:c r="A431" s="30" t="str">
        <x:v>À vérifier</x:v>
      </x:c>
      <x:c r="B431" s="30" t="str"/>
      <x:c r="C431" s="31"/>
      <x:c r="D431" s="30" t="str">
        <x:v>Non vérifié</x:v>
      </x:c>
      <x:c r="E431" s="30" t="str"/>
      <x:c r="F431" s="30" t="str"/>
      <x:c r="G431" s="32" t="str"/>
      <x:c r="H431" s="33" t="str">
        <x:f>IF(I431&lt;&gt;"","Doublon possible","")</x:f>
      </x:c>
      <x:c r="I431" s="33" t="str">
        <x:f>IF(COUNTIFS($Y$9:$Y$678,Y431)&gt;1,"Nom + ville",IF(AND(Z431&lt;&gt;"",COUNTIFS($Z$9:$Z$678,Z431)&gt;1),"Téléphone",IF(AND(AA431&lt;&gt;"",COUNTIFS($AA$9:$AA$678,AA431)&gt;1),"Site web","")))</x:f>
      </x:c>
      <x:c r="J431" s="33" t="str">
        <x:v>Pharmacie Fifi</x:v>
      </x:c>
      <x:c r="K431" s="33" t="str">
        <x:v>Santé</x:v>
      </x:c>
      <x:c r="L431" s="33" t="str">
        <x:v>Pharmacies</x:v>
      </x:c>
      <x:c r="M431" s="33" t="str">
        <x:v>Conakry (à vérifier)</x:v>
      </x:c>
      <x:c r="N431" s="33" t="str"/>
      <x:c r="O431" s="33" t="str"/>
      <x:c r="P431" s="33" t="str">
        <x:v>+224669872409</x:v>
      </x:c>
      <x:c r="Q431" s="33" t="str"/>
      <x:c r="R431" s="33" t="str"/>
      <x:c r="S431" s="33" t="str"/>
      <x:c r="T431" s="35" t="n">
        <x:v>9.5778919</x:v>
      </x:c>
      <x:c r="U431" s="35" t="n">
        <x:v>-13.6235346</x:v>
      </x:c>
      <x:c r="V431" s="33" t="str">
        <x:v>https://www.openstreetmap.org/node/5597291979</x:v>
      </x:c>
      <x:c r="W431" s="33" t="str">
        <x:v>node/5597291979</x:v>
      </x:c>
      <x:c r="X431" s="33" t="str">
        <x:v>review_required</x:v>
      </x:c>
      <x:c r="Y431" s="33" t="str">
        <x:v>pharmacie fifi|conakry a verifier</x:v>
      </x:c>
      <x:c r="Z431" s="33" t="str">
        <x:v>224669872409</x:v>
      </x:c>
      <x:c r="AA431" s="33" t="str"/>
    </x:row>
    <x:row r="432">
      <x:c r="A432" s="30" t="str">
        <x:v>À vérifier</x:v>
      </x:c>
      <x:c r="B432" s="30" t="str"/>
      <x:c r="C432" s="31"/>
      <x:c r="D432" s="30" t="str">
        <x:v>Non vérifié</x:v>
      </x:c>
      <x:c r="E432" s="30" t="str"/>
      <x:c r="F432" s="30" t="str"/>
      <x:c r="G432" s="32" t="str"/>
      <x:c r="H432" s="33" t="str">
        <x:f>IF(I432&lt;&gt;"","Doublon possible","")</x:f>
      </x:c>
      <x:c r="I432" s="33" t="str">
        <x:f>IF(COUNTIFS($Y$9:$Y$678,Y432)&gt;1,"Nom + ville",IF(AND(Z432&lt;&gt;"",COUNTIFS($Z$9:$Z$678,Z432)&gt;1),"Téléphone",IF(AND(AA432&lt;&gt;"",COUNTIFS($AA$9:$AA$678,AA432)&gt;1),"Site web","")))</x:f>
      </x:c>
      <x:c r="J432" s="33" t="str">
        <x:v>Pharmacie Fode M. Lamine</x:v>
      </x:c>
      <x:c r="K432" s="33" t="str">
        <x:v>Santé</x:v>
      </x:c>
      <x:c r="L432" s="33" t="str">
        <x:v>Pharmacies</x:v>
      </x:c>
      <x:c r="M432" s="33" t="str">
        <x:v>Conakry (à vérifier)</x:v>
      </x:c>
      <x:c r="N432" s="33" t="str"/>
      <x:c r="O432" s="33" t="str"/>
      <x:c r="P432" s="33" t="str">
        <x:v>+224628302153</x:v>
      </x:c>
      <x:c r="Q432" s="33" t="str"/>
      <x:c r="R432" s="33" t="str"/>
      <x:c r="S432" s="33" t="str"/>
      <x:c r="T432" s="35" t="n">
        <x:v>9.666497</x:v>
      </x:c>
      <x:c r="U432" s="35" t="n">
        <x:v>-13.5265624</x:v>
      </x:c>
      <x:c r="V432" s="33" t="str">
        <x:v>https://www.openstreetmap.org/node/5994148412</x:v>
      </x:c>
      <x:c r="W432" s="33" t="str">
        <x:v>node/5994148412</x:v>
      </x:c>
      <x:c r="X432" s="33" t="str">
        <x:v>review_required</x:v>
      </x:c>
      <x:c r="Y432" s="33" t="str">
        <x:v>pharmacie fode m lamine|conakry a verifier</x:v>
      </x:c>
      <x:c r="Z432" s="33" t="str">
        <x:v>224628302153</x:v>
      </x:c>
      <x:c r="AA432" s="33" t="str"/>
    </x:row>
    <x:row r="433">
      <x:c r="A433" s="30" t="str">
        <x:v>À vérifier</x:v>
      </x:c>
      <x:c r="B433" s="30" t="str"/>
      <x:c r="C433" s="31"/>
      <x:c r="D433" s="30" t="str">
        <x:v>Non vérifié</x:v>
      </x:c>
      <x:c r="E433" s="30" t="str"/>
      <x:c r="F433" s="30" t="str"/>
      <x:c r="G433" s="32" t="str"/>
      <x:c r="H433" s="33" t="str">
        <x:f>IF(I433&lt;&gt;"","Doublon possible","")</x:f>
      </x:c>
      <x:c r="I433" s="33" t="str">
        <x:f>IF(COUNTIFS($Y$9:$Y$678,Y433)&gt;1,"Nom + ville",IF(AND(Z433&lt;&gt;"",COUNTIFS($Z$9:$Z$678,Z433)&gt;1),"Téléphone",IF(AND(AA433&lt;&gt;"",COUNTIFS($AA$9:$AA$678,AA433)&gt;1),"Site web","")))</x:f>
      </x:c>
      <x:c r="J433" s="33" t="str">
        <x:v>Pharmacie Gbessia centre</x:v>
      </x:c>
      <x:c r="K433" s="33" t="str">
        <x:v>Santé</x:v>
      </x:c>
      <x:c r="L433" s="33" t="str">
        <x:v>Pharmacies</x:v>
      </x:c>
      <x:c r="M433" s="33" t="str">
        <x:v>Conakry (à vérifier)</x:v>
      </x:c>
      <x:c r="N433" s="33" t="str"/>
      <x:c r="O433" s="33" t="str"/>
      <x:c r="P433" s="33" t="str">
        <x:v>+224664861274</x:v>
      </x:c>
      <x:c r="Q433" s="33" t="str"/>
      <x:c r="R433" s="33" t="str"/>
      <x:c r="S433" s="33" t="str"/>
      <x:c r="T433" s="35" t="n">
        <x:v>9.5678496</x:v>
      </x:c>
      <x:c r="U433" s="35" t="n">
        <x:v>-13.6297371</x:v>
      </x:c>
      <x:c r="V433" s="33" t="str">
        <x:v>https://www.openstreetmap.org/node/5866701365</x:v>
      </x:c>
      <x:c r="W433" s="33" t="str">
        <x:v>node/5866701365</x:v>
      </x:c>
      <x:c r="X433" s="33" t="str">
        <x:v>review_required</x:v>
      </x:c>
      <x:c r="Y433" s="33" t="str">
        <x:v>pharmacie gbessia centre|conakry a verifier</x:v>
      </x:c>
      <x:c r="Z433" s="33" t="str">
        <x:v>224664861274</x:v>
      </x:c>
      <x:c r="AA433" s="33" t="str"/>
    </x:row>
    <x:row r="434">
      <x:c r="A434" s="30" t="str">
        <x:v>À vérifier</x:v>
      </x:c>
      <x:c r="B434" s="30" t="str"/>
      <x:c r="C434" s="31"/>
      <x:c r="D434" s="30" t="str">
        <x:v>Non vérifié</x:v>
      </x:c>
      <x:c r="E434" s="30" t="str"/>
      <x:c r="F434" s="30" t="str"/>
      <x:c r="G434" s="32" t="str"/>
      <x:c r="H434" s="33" t="str">
        <x:f>IF(I434&lt;&gt;"","Doublon possible","")</x:f>
      </x:c>
      <x:c r="I434" s="33" t="str">
        <x:f>IF(COUNTIFS($Y$9:$Y$678,Y434)&gt;1,"Nom + ville",IF(AND(Z434&lt;&gt;"",COUNTIFS($Z$9:$Z$678,Z434)&gt;1),"Téléphone",IF(AND(AA434&lt;&gt;"",COUNTIFS($AA$9:$AA$678,AA434)&gt;1),"Site web","")))</x:f>
      </x:c>
      <x:c r="J434" s="33" t="str">
        <x:v>Pharmacie Gbessia-Niger</x:v>
      </x:c>
      <x:c r="K434" s="33" t="str">
        <x:v>Santé</x:v>
      </x:c>
      <x:c r="L434" s="33" t="str">
        <x:v>Pharmacies</x:v>
      </x:c>
      <x:c r="M434" s="33" t="str">
        <x:v>Conakry (à vérifier)</x:v>
      </x:c>
      <x:c r="N434" s="33" t="str"/>
      <x:c r="O434" s="33" t="str"/>
      <x:c r="P434" s="33" t="str">
        <x:v>+224664452408</x:v>
      </x:c>
      <x:c r="Q434" s="33" t="str"/>
      <x:c r="R434" s="33" t="str"/>
      <x:c r="S434" s="33" t="str"/>
      <x:c r="T434" s="35" t="n">
        <x:v>9.5681159</x:v>
      </x:c>
      <x:c r="U434" s="35" t="n">
        <x:v>-13.6312578</x:v>
      </x:c>
      <x:c r="V434" s="33" t="str">
        <x:v>https://www.openstreetmap.org/node/6008503532</x:v>
      </x:c>
      <x:c r="W434" s="33" t="str">
        <x:v>node/6008503532</x:v>
      </x:c>
      <x:c r="X434" s="33" t="str">
        <x:v>review_required</x:v>
      </x:c>
      <x:c r="Y434" s="33" t="str">
        <x:v>pharmacie gbessia niger|conakry a verifier</x:v>
      </x:c>
      <x:c r="Z434" s="33" t="str">
        <x:v>224664452408</x:v>
      </x:c>
      <x:c r="AA434" s="33" t="str"/>
    </x:row>
    <x:row r="435">
      <x:c r="A435" s="30" t="str">
        <x:v>À vérifier</x:v>
      </x:c>
      <x:c r="B435" s="30" t="str"/>
      <x:c r="C435" s="31"/>
      <x:c r="D435" s="30" t="str">
        <x:v>Non vérifié</x:v>
      </x:c>
      <x:c r="E435" s="30" t="str"/>
      <x:c r="F435" s="30" t="str"/>
      <x:c r="G435" s="32" t="str"/>
      <x:c r="H435" s="33" t="str">
        <x:f>IF(I435&lt;&gt;"","Doublon possible","")</x:f>
      </x:c>
      <x:c r="I435" s="33" t="str">
        <x:f>IF(COUNTIFS($Y$9:$Y$678,Y435)&gt;1,"Nom + ville",IF(AND(Z435&lt;&gt;"",COUNTIFS($Z$9:$Z$678,Z435)&gt;1),"Téléphone",IF(AND(AA435&lt;&gt;"",COUNTIFS($AA$9:$AA$678,AA435)&gt;1),"Site web","")))</x:f>
      </x:c>
      <x:c r="J435" s="33" t="str">
        <x:v>pharmacie Guipharma</x:v>
      </x:c>
      <x:c r="K435" s="33" t="str">
        <x:v>Santé</x:v>
      </x:c>
      <x:c r="L435" s="33" t="str">
        <x:v>Pharmacies</x:v>
      </x:c>
      <x:c r="M435" s="33" t="str">
        <x:v>Conakry (à vérifier)</x:v>
      </x:c>
      <x:c r="N435" s="33" t="str"/>
      <x:c r="O435" s="33" t="str"/>
      <x:c r="P435" s="33" t="str">
        <x:v>+224628424562</x:v>
      </x:c>
      <x:c r="Q435" s="33" t="str"/>
      <x:c r="R435" s="33" t="str"/>
      <x:c r="S435" s="33" t="str"/>
      <x:c r="T435" s="35" t="n">
        <x:v>9.631978</x:v>
      </x:c>
      <x:c r="U435" s="35" t="n">
        <x:v>-13.6031192</x:v>
      </x:c>
      <x:c r="V435" s="33" t="str">
        <x:v>https://www.openstreetmap.org/node/5528602741</x:v>
      </x:c>
      <x:c r="W435" s="33" t="str">
        <x:v>node/5528602741</x:v>
      </x:c>
      <x:c r="X435" s="33" t="str">
        <x:v>review_required</x:v>
      </x:c>
      <x:c r="Y435" s="33" t="str">
        <x:v>pharmacie guipharma|conakry a verifier</x:v>
      </x:c>
      <x:c r="Z435" s="33" t="str">
        <x:v>224628424562</x:v>
      </x:c>
      <x:c r="AA435" s="33" t="str"/>
    </x:row>
    <x:row r="436">
      <x:c r="A436" s="30" t="str">
        <x:v>À vérifier</x:v>
      </x:c>
      <x:c r="B436" s="30" t="str"/>
      <x:c r="C436" s="31"/>
      <x:c r="D436" s="30" t="str">
        <x:v>Non vérifié</x:v>
      </x:c>
      <x:c r="E436" s="30" t="str"/>
      <x:c r="F436" s="30" t="str"/>
      <x:c r="G436" s="32" t="str"/>
      <x:c r="H436" s="33" t="str">
        <x:f>IF(I436&lt;&gt;"","Doublon possible","")</x:f>
      </x:c>
      <x:c r="I436" s="33" t="str">
        <x:f>IF(COUNTIFS($Y$9:$Y$678,Y436)&gt;1,"Nom + ville",IF(AND(Z436&lt;&gt;"",COUNTIFS($Z$9:$Z$678,Z436)&gt;1),"Téléphone",IF(AND(AA436&lt;&gt;"",COUNTIFS($AA$9:$AA$678,AA436)&gt;1),"Site web","")))</x:f>
      </x:c>
      <x:c r="J436" s="33" t="str">
        <x:v>Pharmacie Hadja Bil</x:v>
      </x:c>
      <x:c r="K436" s="33" t="str">
        <x:v>Santé</x:v>
      </x:c>
      <x:c r="L436" s="33" t="str">
        <x:v>Pharmacies</x:v>
      </x:c>
      <x:c r="M436" s="33" t="str">
        <x:v>Conakry (à vérifier)</x:v>
      </x:c>
      <x:c r="N436" s="33" t="str"/>
      <x:c r="O436" s="33" t="str"/>
      <x:c r="P436" s="33" t="str">
        <x:v>+224662874387</x:v>
      </x:c>
      <x:c r="Q436" s="33" t="str"/>
      <x:c r="R436" s="33" t="str"/>
      <x:c r="S436" s="33" t="str"/>
      <x:c r="T436" s="35" t="n">
        <x:v>9.5663078</x:v>
      </x:c>
      <x:c r="U436" s="35" t="n">
        <x:v>-13.6333837</x:v>
      </x:c>
      <x:c r="V436" s="33" t="str">
        <x:v>https://www.openstreetmap.org/way/428510369</x:v>
      </x:c>
      <x:c r="W436" s="33" t="str">
        <x:v>way/428510369</x:v>
      </x:c>
      <x:c r="X436" s="33" t="str">
        <x:v>review_required</x:v>
      </x:c>
      <x:c r="Y436" s="33" t="str">
        <x:v>pharmacie hadja bil|conakry a verifier</x:v>
      </x:c>
      <x:c r="Z436" s="33" t="str">
        <x:v>224662874387</x:v>
      </x:c>
      <x:c r="AA436" s="33" t="str"/>
    </x:row>
    <x:row r="437">
      <x:c r="A437" s="30" t="str">
        <x:v>À vérifier</x:v>
      </x:c>
      <x:c r="B437" s="30" t="str"/>
      <x:c r="C437" s="31"/>
      <x:c r="D437" s="30" t="str">
        <x:v>Non vérifié</x:v>
      </x:c>
      <x:c r="E437" s="30" t="str"/>
      <x:c r="F437" s="30" t="str"/>
      <x:c r="G437" s="32" t="str"/>
      <x:c r="H437" s="33" t="str">
        <x:f>IF(I437&lt;&gt;"","Doublon possible","")</x:f>
      </x:c>
      <x:c r="I437" s="33" t="str">
        <x:f>IF(COUNTIFS($Y$9:$Y$678,Y437)&gt;1,"Nom + ville",IF(AND(Z437&lt;&gt;"",COUNTIFS($Z$9:$Z$678,Z437)&gt;1),"Téléphone",IF(AND(AA437&lt;&gt;"",COUNTIFS($AA$9:$AA$678,AA437)&gt;1),"Site web","")))</x:f>
      </x:c>
      <x:c r="J437" s="33" t="str">
        <x:v>Pharmacie Hadja Fatoumata</x:v>
      </x:c>
      <x:c r="K437" s="33" t="str">
        <x:v>Santé</x:v>
      </x:c>
      <x:c r="L437" s="33" t="str">
        <x:v>Pharmacies</x:v>
      </x:c>
      <x:c r="M437" s="33" t="str">
        <x:v>Conakry (à vérifier)</x:v>
      </x:c>
      <x:c r="N437" s="33" t="str"/>
      <x:c r="O437" s="33" t="str"/>
      <x:c r="P437" s="33" t="str">
        <x:v>+224628298301</x:v>
      </x:c>
      <x:c r="Q437" s="33" t="str"/>
      <x:c r="R437" s="33" t="str"/>
      <x:c r="S437" s="33" t="str"/>
      <x:c r="T437" s="35" t="n">
        <x:v>9.7140605</x:v>
      </x:c>
      <x:c r="U437" s="35" t="n">
        <x:v>-13.5031594</x:v>
      </x:c>
      <x:c r="V437" s="33" t="str">
        <x:v>https://www.openstreetmap.org/node/4347462119</x:v>
      </x:c>
      <x:c r="W437" s="33" t="str">
        <x:v>node/4347462119</x:v>
      </x:c>
      <x:c r="X437" s="33" t="str">
        <x:v>review_required</x:v>
      </x:c>
      <x:c r="Y437" s="33" t="str">
        <x:v>pharmacie hadja fatoumata|conakry a verifier</x:v>
      </x:c>
      <x:c r="Z437" s="33" t="str">
        <x:v>224628298301</x:v>
      </x:c>
      <x:c r="AA437" s="33" t="str"/>
    </x:row>
    <x:row r="438">
      <x:c r="A438" s="30" t="str">
        <x:v>À vérifier</x:v>
      </x:c>
      <x:c r="B438" s="30" t="str"/>
      <x:c r="C438" s="31"/>
      <x:c r="D438" s="30" t="str">
        <x:v>Non vérifié</x:v>
      </x:c>
      <x:c r="E438" s="30" t="str"/>
      <x:c r="F438" s="30" t="str"/>
      <x:c r="G438" s="32" t="str"/>
      <x:c r="H438" s="33" t="str">
        <x:f>IF(I438&lt;&gt;"","Doublon possible","")</x:f>
      </x:c>
      <x:c r="I438" s="33" t="str">
        <x:f>IF(COUNTIFS($Y$9:$Y$678,Y438)&gt;1,"Nom + ville",IF(AND(Z438&lt;&gt;"",COUNTIFS($Z$9:$Z$678,Z438)&gt;1),"Téléphone",IF(AND(AA438&lt;&gt;"",COUNTIFS($AA$9:$AA$678,AA438)&gt;1),"Site web","")))</x:f>
      </x:c>
      <x:c r="J438" s="33" t="str">
        <x:v>Pharmacie Hadja Marie</x:v>
      </x:c>
      <x:c r="K438" s="33" t="str">
        <x:v>Santé</x:v>
      </x:c>
      <x:c r="L438" s="33" t="str">
        <x:v>Pharmacies</x:v>
      </x:c>
      <x:c r="M438" s="33" t="str">
        <x:v>Conakry (à vérifier)</x:v>
      </x:c>
      <x:c r="N438" s="33" t="str"/>
      <x:c r="O438" s="33" t="str"/>
      <x:c r="P438" s="33" t="str">
        <x:v>+224664725635</x:v>
      </x:c>
      <x:c r="Q438" s="33" t="str"/>
      <x:c r="R438" s="33" t="str"/>
      <x:c r="S438" s="33" t="str"/>
      <x:c r="T438" s="35" t="n">
        <x:v>9.6655133</x:v>
      </x:c>
      <x:c r="U438" s="35" t="n">
        <x:v>-13.5617288</x:v>
      </x:c>
      <x:c r="V438" s="33" t="str">
        <x:v>https://www.openstreetmap.org/node/6023246923</x:v>
      </x:c>
      <x:c r="W438" s="33" t="str">
        <x:v>node/6023246923</x:v>
      </x:c>
      <x:c r="X438" s="33" t="str">
        <x:v>review_required</x:v>
      </x:c>
      <x:c r="Y438" s="33" t="str">
        <x:v>pharmacie hadja marie|conakry a verifier</x:v>
      </x:c>
      <x:c r="Z438" s="33" t="str">
        <x:v>224664725635</x:v>
      </x:c>
      <x:c r="AA438" s="33" t="str"/>
    </x:row>
    <x:row r="439">
      <x:c r="A439" s="30" t="str">
        <x:v>À vérifier</x:v>
      </x:c>
      <x:c r="B439" s="30" t="str"/>
      <x:c r="C439" s="31"/>
      <x:c r="D439" s="30" t="str">
        <x:v>Non vérifié</x:v>
      </x:c>
      <x:c r="E439" s="30" t="str"/>
      <x:c r="F439" s="30" t="str"/>
      <x:c r="G439" s="32" t="str"/>
      <x:c r="H439" s="33" t="str">
        <x:f>IF(I439&lt;&gt;"","Doublon possible","")</x:f>
      </x:c>
      <x:c r="I439" s="33" t="str">
        <x:f>IF(COUNTIFS($Y$9:$Y$678,Y439)&gt;1,"Nom + ville",IF(AND(Z439&lt;&gt;"",COUNTIFS($Z$9:$Z$678,Z439)&gt;1),"Téléphone",IF(AND(AA439&lt;&gt;"",COUNTIFS($AA$9:$AA$678,AA439)&gt;1),"Site web","")))</x:f>
      </x:c>
      <x:c r="J439" s="33" t="str">
        <x:v>Pharmacie Hamdallaye Centre</x:v>
      </x:c>
      <x:c r="K439" s="33" t="str">
        <x:v>Santé</x:v>
      </x:c>
      <x:c r="L439" s="33" t="str">
        <x:v>Pharmacies</x:v>
      </x:c>
      <x:c r="M439" s="33" t="str">
        <x:v>Conakry (à vérifier)</x:v>
      </x:c>
      <x:c r="N439" s="33" t="str"/>
      <x:c r="O439" s="33" t="str"/>
      <x:c r="P439" s="33" t="str">
        <x:v>+224622985191</x:v>
      </x:c>
      <x:c r="Q439" s="33" t="str"/>
      <x:c r="R439" s="33" t="str"/>
      <x:c r="S439" s="33" t="str"/>
      <x:c r="T439" s="35" t="n">
        <x:v>9.5810035</x:v>
      </x:c>
      <x:c r="U439" s="35" t="n">
        <x:v>-13.6489346</x:v>
      </x:c>
      <x:c r="V439" s="33" t="str">
        <x:v>https://www.openstreetmap.org/node/5511952665</x:v>
      </x:c>
      <x:c r="W439" s="33" t="str">
        <x:v>node/5511952665</x:v>
      </x:c>
      <x:c r="X439" s="33" t="str">
        <x:v>review_required</x:v>
      </x:c>
      <x:c r="Y439" s="33" t="str">
        <x:v>pharmacie hamdallaye centre|conakry a verifier</x:v>
      </x:c>
      <x:c r="Z439" s="33" t="str">
        <x:v>224622985191</x:v>
      </x:c>
      <x:c r="AA439" s="33" t="str"/>
    </x:row>
    <x:row r="440">
      <x:c r="A440" s="30" t="str">
        <x:v>À vérifier</x:v>
      </x:c>
      <x:c r="B440" s="30" t="str"/>
      <x:c r="C440" s="31"/>
      <x:c r="D440" s="30" t="str">
        <x:v>Non vérifié</x:v>
      </x:c>
      <x:c r="E440" s="30" t="str"/>
      <x:c r="F440" s="30" t="str"/>
      <x:c r="G440" s="32" t="str"/>
      <x:c r="H440" s="33" t="str">
        <x:f>IF(I440&lt;&gt;"","Doublon possible","")</x:f>
      </x:c>
      <x:c r="I440" s="33" t="str">
        <x:f>IF(COUNTIFS($Y$9:$Y$678,Y440)&gt;1,"Nom + ville",IF(AND(Z440&lt;&gt;"",COUNTIFS($Z$9:$Z$678,Z440)&gt;1),"Téléphone",IF(AND(AA440&lt;&gt;"",COUNTIFS($AA$9:$AA$678,AA440)&gt;1),"Site web","")))</x:f>
      </x:c>
      <x:c r="J440" s="33" t="str">
        <x:v>Pharmacie IBN</x:v>
      </x:c>
      <x:c r="K440" s="33" t="str">
        <x:v>Santé</x:v>
      </x:c>
      <x:c r="L440" s="33" t="str">
        <x:v>Pharmacies</x:v>
      </x:c>
      <x:c r="M440" s="33" t="str">
        <x:v>Conakry (à vérifier)</x:v>
      </x:c>
      <x:c r="N440" s="33" t="str"/>
      <x:c r="O440" s="33" t="str"/>
      <x:c r="P440" s="33" t="str">
        <x:v>625467789</x:v>
      </x:c>
      <x:c r="Q440" s="33" t="str"/>
      <x:c r="R440" s="33" t="str"/>
      <x:c r="S440" s="33" t="str"/>
      <x:c r="T440" s="35" t="n">
        <x:v>9.6116803</x:v>
      </x:c>
      <x:c r="U440" s="35" t="n">
        <x:v>-13.648626</x:v>
      </x:c>
      <x:c r="V440" s="33" t="str">
        <x:v>https://www.openstreetmap.org/node/9120249020</x:v>
      </x:c>
      <x:c r="W440" s="33" t="str">
        <x:v>node/9120249020</x:v>
      </x:c>
      <x:c r="X440" s="33" t="str">
        <x:v>review_required</x:v>
      </x:c>
      <x:c r="Y440" s="33" t="str">
        <x:v>pharmacie ibn|conakry a verifier</x:v>
      </x:c>
      <x:c r="Z440" s="33" t="str">
        <x:v>224625467789</x:v>
      </x:c>
      <x:c r="AA440" s="33" t="str"/>
    </x:row>
    <x:row r="441">
      <x:c r="A441" s="30" t="str">
        <x:v>À vérifier</x:v>
      </x:c>
      <x:c r="B441" s="30" t="str"/>
      <x:c r="C441" s="31"/>
      <x:c r="D441" s="30" t="str">
        <x:v>Non vérifié</x:v>
      </x:c>
      <x:c r="E441" s="30" t="str"/>
      <x:c r="F441" s="30" t="str"/>
      <x:c r="G441" s="32" t="str"/>
      <x:c r="H441" s="33" t="str">
        <x:f>IF(I441&lt;&gt;"","Doublon possible","")</x:f>
        <x:v>Doublon possible</x:v>
      </x:c>
      <x:c r="I441" s="33" t="str">
        <x:f>IF(COUNTIFS($Y$9:$Y$678,Y441)&gt;1,"Nom + ville",IF(AND(Z441&lt;&gt;"",COUNTIFS($Z$9:$Z$678,Z441)&gt;1),"Téléphone",IF(AND(AA441&lt;&gt;"",COUNTIFS($AA$9:$AA$678,AA441)&gt;1),"Site web","")))</x:f>
        <x:v>Nom + ville</x:v>
      </x:c>
      <x:c r="J441" s="33" t="str">
        <x:v>Pharmacie Jeanette</x:v>
      </x:c>
      <x:c r="K441" s="33" t="str">
        <x:v>Santé</x:v>
      </x:c>
      <x:c r="L441" s="33" t="str">
        <x:v>Pharmacies</x:v>
      </x:c>
      <x:c r="M441" s="33" t="str">
        <x:v>Conakry (à vérifier)</x:v>
      </x:c>
      <x:c r="N441" s="33" t="str"/>
      <x:c r="O441" s="33" t="str"/>
      <x:c r="P441" s="33" t="str">
        <x:v>+224664268617</x:v>
      </x:c>
      <x:c r="Q441" s="33" t="str"/>
      <x:c r="R441" s="33" t="str"/>
      <x:c r="S441" s="33" t="str"/>
      <x:c r="T441" s="35" t="n">
        <x:v>9.6004099</x:v>
      </x:c>
      <x:c r="U441" s="35" t="n">
        <x:v>-13.638802</x:v>
      </x:c>
      <x:c r="V441" s="33" t="str">
        <x:v>https://www.openstreetmap.org/node/6049816612</x:v>
      </x:c>
      <x:c r="W441" s="33" t="str">
        <x:v>node/6049816612</x:v>
      </x:c>
      <x:c r="X441" s="33" t="str">
        <x:v>review_required</x:v>
      </x:c>
      <x:c r="Y441" s="33" t="str">
        <x:v>pharmacie jeanette|conakry a verifier</x:v>
      </x:c>
      <x:c r="Z441" s="33" t="str">
        <x:v>224664268617</x:v>
      </x:c>
      <x:c r="AA441" s="33" t="str"/>
    </x:row>
    <x:row r="442">
      <x:c r="A442" s="30" t="str">
        <x:v>À vérifier</x:v>
      </x:c>
      <x:c r="B442" s="30" t="str"/>
      <x:c r="C442" s="31"/>
      <x:c r="D442" s="30" t="str">
        <x:v>Non vérifié</x:v>
      </x:c>
      <x:c r="E442" s="30" t="str"/>
      <x:c r="F442" s="30" t="str"/>
      <x:c r="G442" s="32" t="str"/>
      <x:c r="H442" s="33" t="str">
        <x:f>IF(I442&lt;&gt;"","Doublon possible","")</x:f>
        <x:v>Doublon possible</x:v>
      </x:c>
      <x:c r="I442" s="33" t="str">
        <x:f>IF(COUNTIFS($Y$9:$Y$678,Y442)&gt;1,"Nom + ville",IF(AND(Z442&lt;&gt;"",COUNTIFS($Z$9:$Z$678,Z442)&gt;1),"Téléphone",IF(AND(AA442&lt;&gt;"",COUNTIFS($AA$9:$AA$678,AA442)&gt;1),"Site web","")))</x:f>
        <x:v>Nom + ville</x:v>
      </x:c>
      <x:c r="J442" s="33" t="str">
        <x:v>Pharmacie Jeanette</x:v>
      </x:c>
      <x:c r="K442" s="33" t="str">
        <x:v>Santé</x:v>
      </x:c>
      <x:c r="L442" s="33" t="str">
        <x:v>Pharmacies</x:v>
      </x:c>
      <x:c r="M442" s="33" t="str">
        <x:v>Conakry (à vérifier)</x:v>
      </x:c>
      <x:c r="N442" s="33" t="str"/>
      <x:c r="O442" s="33" t="str">
        <x:v>Kaporo Rails</x:v>
      </x:c>
      <x:c r="P442" s="33" t="str"/>
      <x:c r="Q442" s="33" t="str"/>
      <x:c r="R442" s="33" t="str"/>
      <x:c r="S442" s="33" t="str"/>
      <x:c r="T442" s="35" t="n">
        <x:v>9.6004296</x:v>
      </x:c>
      <x:c r="U442" s="35" t="n">
        <x:v>-13.6388119</x:v>
      </x:c>
      <x:c r="V442" s="33" t="str">
        <x:v>https://www.openstreetmap.org/node/6228207619</x:v>
      </x:c>
      <x:c r="W442" s="33" t="str">
        <x:v>node/6228207619</x:v>
      </x:c>
      <x:c r="X442" s="33" t="str">
        <x:v>review_required</x:v>
      </x:c>
      <x:c r="Y442" s="33" t="str">
        <x:v>pharmacie jeanette|conakry a verifier</x:v>
      </x:c>
      <x:c r="Z442" s="33" t="str"/>
      <x:c r="AA442" s="33" t="str"/>
    </x:row>
    <x:row r="443">
      <x:c r="A443" s="30" t="str">
        <x:v>À vérifier</x:v>
      </x:c>
      <x:c r="B443" s="30" t="str"/>
      <x:c r="C443" s="31"/>
      <x:c r="D443" s="30" t="str">
        <x:v>Non vérifié</x:v>
      </x:c>
      <x:c r="E443" s="30" t="str"/>
      <x:c r="F443" s="30" t="str"/>
      <x:c r="G443" s="32" t="str"/>
      <x:c r="H443" s="33" t="str">
        <x:f>IF(I443&lt;&gt;"","Doublon possible","")</x:f>
      </x:c>
      <x:c r="I443" s="33" t="str">
        <x:f>IF(COUNTIFS($Y$9:$Y$678,Y443)&gt;1,"Nom + ville",IF(AND(Z443&lt;&gt;"",COUNTIFS($Z$9:$Z$678,Z443)&gt;1),"Téléphone",IF(AND(AA443&lt;&gt;"",COUNTIFS($AA$9:$AA$678,AA443)&gt;1),"Site web","")))</x:f>
      </x:c>
      <x:c r="J443" s="33" t="str">
        <x:v>Pharmacie Kakiwondy</x:v>
      </x:c>
      <x:c r="K443" s="33" t="str">
        <x:v>Santé</x:v>
      </x:c>
      <x:c r="L443" s="33" t="str">
        <x:v>Pharmacies</x:v>
      </x:c>
      <x:c r="M443" s="33" t="str">
        <x:v>Conakry (à vérifier)</x:v>
      </x:c>
      <x:c r="N443" s="33" t="str"/>
      <x:c r="O443" s="33" t="str"/>
      <x:c r="P443" s="33" t="str">
        <x:v>+224628534621</x:v>
      </x:c>
      <x:c r="Q443" s="33" t="str"/>
      <x:c r="R443" s="33" t="str"/>
      <x:c r="S443" s="33" t="str"/>
      <x:c r="T443" s="35" t="n">
        <x:v>9.5677451</x:v>
      </x:c>
      <x:c r="U443" s="35" t="n">
        <x:v>-13.6158731</x:v>
      </x:c>
      <x:c r="V443" s="33" t="str">
        <x:v>https://www.openstreetmap.org/node/6008502848</x:v>
      </x:c>
      <x:c r="W443" s="33" t="str">
        <x:v>node/6008502848</x:v>
      </x:c>
      <x:c r="X443" s="33" t="str">
        <x:v>review_required</x:v>
      </x:c>
      <x:c r="Y443" s="33" t="str">
        <x:v>pharmacie kakiwondy|conakry a verifier</x:v>
      </x:c>
      <x:c r="Z443" s="33" t="str">
        <x:v>224628534621</x:v>
      </x:c>
      <x:c r="AA443" s="33" t="str"/>
    </x:row>
    <x:row r="444">
      <x:c r="A444" s="30" t="str">
        <x:v>À vérifier</x:v>
      </x:c>
      <x:c r="B444" s="30" t="str"/>
      <x:c r="C444" s="31"/>
      <x:c r="D444" s="30" t="str">
        <x:v>Non vérifié</x:v>
      </x:c>
      <x:c r="E444" s="30" t="str"/>
      <x:c r="F444" s="30" t="str"/>
      <x:c r="G444" s="32" t="str"/>
      <x:c r="H444" s="33" t="str">
        <x:f>IF(I444&lt;&gt;"","Doublon possible","")</x:f>
      </x:c>
      <x:c r="I444" s="33" t="str">
        <x:f>IF(COUNTIFS($Y$9:$Y$678,Y444)&gt;1,"Nom + ville",IF(AND(Z444&lt;&gt;"",COUNTIFS($Z$9:$Z$678,Z444)&gt;1),"Téléphone",IF(AND(AA444&lt;&gt;"",COUNTIFS($AA$9:$AA$678,AA444)&gt;1),"Site web","")))</x:f>
      </x:c>
      <x:c r="J444" s="33" t="str">
        <x:v>Pharmacie Kassadou</x:v>
      </x:c>
      <x:c r="K444" s="33" t="str">
        <x:v>Santé</x:v>
      </x:c>
      <x:c r="L444" s="33" t="str">
        <x:v>Pharmacies</x:v>
      </x:c>
      <x:c r="M444" s="33" t="str">
        <x:v>Conakry (à vérifier)</x:v>
      </x:c>
      <x:c r="N444" s="33" t="str"/>
      <x:c r="O444" s="33" t="str"/>
      <x:c r="P444" s="33" t="str">
        <x:v>664316637</x:v>
      </x:c>
      <x:c r="Q444" s="33" t="str"/>
      <x:c r="R444" s="33" t="str"/>
      <x:c r="S444" s="33" t="str"/>
      <x:c r="T444" s="35" t="n">
        <x:v>9.5694239</x:v>
      </x:c>
      <x:c r="U444" s="35" t="n">
        <x:v>-13.6473203</x:v>
      </x:c>
      <x:c r="V444" s="33" t="str">
        <x:v>https://www.openstreetmap.org/node/7362841238</x:v>
      </x:c>
      <x:c r="W444" s="33" t="str">
        <x:v>node/7362841238</x:v>
      </x:c>
      <x:c r="X444" s="33" t="str">
        <x:v>review_required</x:v>
      </x:c>
      <x:c r="Y444" s="33" t="str">
        <x:v>pharmacie kassadou|conakry a verifier</x:v>
      </x:c>
      <x:c r="Z444" s="33" t="str">
        <x:v>224664316637</x:v>
      </x:c>
      <x:c r="AA444" s="33" t="str"/>
    </x:row>
    <x:row r="445">
      <x:c r="A445" s="30" t="str">
        <x:v>À vérifier</x:v>
      </x:c>
      <x:c r="B445" s="30" t="str"/>
      <x:c r="C445" s="31"/>
      <x:c r="D445" s="30" t="str">
        <x:v>Non vérifié</x:v>
      </x:c>
      <x:c r="E445" s="30" t="str"/>
      <x:c r="F445" s="30" t="str"/>
      <x:c r="G445" s="32" t="str"/>
      <x:c r="H445" s="33" t="str">
        <x:f>IF(I445&lt;&gt;"","Doublon possible","")</x:f>
      </x:c>
      <x:c r="I445" s="33" t="str">
        <x:f>IF(COUNTIFS($Y$9:$Y$678,Y445)&gt;1,"Nom + ville",IF(AND(Z445&lt;&gt;"",COUNTIFS($Z$9:$Z$678,Z445)&gt;1),"Téléphone",IF(AND(AA445&lt;&gt;"",COUNTIFS($AA$9:$AA$678,AA445)&gt;1),"Site web","")))</x:f>
      </x:c>
      <x:c r="J445" s="33" t="str">
        <x:v>Pharmacie Kenata</x:v>
      </x:c>
      <x:c r="K445" s="33" t="str">
        <x:v>Santé</x:v>
      </x:c>
      <x:c r="L445" s="33" t="str">
        <x:v>Pharmacies</x:v>
      </x:c>
      <x:c r="M445" s="33" t="str">
        <x:v>Conakry (à vérifier)</x:v>
      </x:c>
      <x:c r="N445" s="33" t="str"/>
      <x:c r="O445" s="33" t="str"/>
      <x:c r="P445" s="33" t="str">
        <x:v>666293788</x:v>
      </x:c>
      <x:c r="Q445" s="33" t="str">
        <x:v>kenatapharma@gmail.com</x:v>
      </x:c>
      <x:c r="R445" s="33" t="str"/>
      <x:c r="S445" s="33" t="str"/>
      <x:c r="T445" s="35" t="n">
        <x:v>9.6274418</x:v>
      </x:c>
      <x:c r="U445" s="35" t="n">
        <x:v>-13.6247209</x:v>
      </x:c>
      <x:c r="V445" s="33" t="str">
        <x:v>https://www.openstreetmap.org/node/7341770633</x:v>
      </x:c>
      <x:c r="W445" s="33" t="str">
        <x:v>node/7341770633</x:v>
      </x:c>
      <x:c r="X445" s="33" t="str">
        <x:v>review_required</x:v>
      </x:c>
      <x:c r="Y445" s="33" t="str">
        <x:v>pharmacie kenata|conakry a verifier</x:v>
      </x:c>
      <x:c r="Z445" s="33" t="str">
        <x:v>224666293788</x:v>
      </x:c>
      <x:c r="AA445" s="33" t="str"/>
    </x:row>
    <x:row r="446">
      <x:c r="A446" s="30" t="str">
        <x:v>À vérifier</x:v>
      </x:c>
      <x:c r="B446" s="30" t="str"/>
      <x:c r="C446" s="31"/>
      <x:c r="D446" s="30" t="str">
        <x:v>Non vérifié</x:v>
      </x:c>
      <x:c r="E446" s="30" t="str"/>
      <x:c r="F446" s="30" t="str"/>
      <x:c r="G446" s="32" t="str"/>
      <x:c r="H446" s="33" t="str">
        <x:f>IF(I446&lt;&gt;"","Doublon possible","")</x:f>
      </x:c>
      <x:c r="I446" s="33" t="str">
        <x:f>IF(COUNTIFS($Y$9:$Y$678,Y446)&gt;1,"Nom + ville",IF(AND(Z446&lt;&gt;"",COUNTIFS($Z$9:$Z$678,Z446)&gt;1),"Téléphone",IF(AND(AA446&lt;&gt;"",COUNTIFS($AA$9:$AA$678,AA446)&gt;1),"Site web","")))</x:f>
      </x:c>
      <x:c r="J446" s="33" t="str">
        <x:v>Pharmacie Kesso</x:v>
      </x:c>
      <x:c r="K446" s="33" t="str">
        <x:v>Santé</x:v>
      </x:c>
      <x:c r="L446" s="33" t="str">
        <x:v>Pharmacies</x:v>
      </x:c>
      <x:c r="M446" s="33" t="str">
        <x:v>Conakry (à vérifier)</x:v>
      </x:c>
      <x:c r="N446" s="33" t="str"/>
      <x:c r="O446" s="33" t="str"/>
      <x:c r="P446" s="33" t="str">
        <x:v>+224621772700</x:v>
      </x:c>
      <x:c r="Q446" s="33" t="str"/>
      <x:c r="R446" s="33" t="str"/>
      <x:c r="S446" s="33" t="str"/>
      <x:c r="T446" s="35" t="n">
        <x:v>9.6222525</x:v>
      </x:c>
      <x:c r="U446" s="35" t="n">
        <x:v>-13.5991997</x:v>
      </x:c>
      <x:c r="V446" s="33" t="str">
        <x:v>https://www.openstreetmap.org/node/4764511324</x:v>
      </x:c>
      <x:c r="W446" s="33" t="str">
        <x:v>node/4764511324</x:v>
      </x:c>
      <x:c r="X446" s="33" t="str">
        <x:v>review_required</x:v>
      </x:c>
      <x:c r="Y446" s="33" t="str">
        <x:v>pharmacie kesso|conakry a verifier</x:v>
      </x:c>
      <x:c r="Z446" s="33" t="str">
        <x:v>224621772700</x:v>
      </x:c>
      <x:c r="AA446" s="33" t="str"/>
    </x:row>
    <x:row r="447">
      <x:c r="A447" s="30" t="str">
        <x:v>À vérifier</x:v>
      </x:c>
      <x:c r="B447" s="30" t="str"/>
      <x:c r="C447" s="31"/>
      <x:c r="D447" s="30" t="str">
        <x:v>Non vérifié</x:v>
      </x:c>
      <x:c r="E447" s="30" t="str"/>
      <x:c r="F447" s="30" t="str"/>
      <x:c r="G447" s="32" t="str"/>
      <x:c r="H447" s="33" t="str">
        <x:f>IF(I447&lt;&gt;"","Doublon possible","")</x:f>
      </x:c>
      <x:c r="I447" s="33" t="str">
        <x:f>IF(COUNTIFS($Y$9:$Y$678,Y447)&gt;1,"Nom + ville",IF(AND(Z447&lt;&gt;"",COUNTIFS($Z$9:$Z$678,Z447)&gt;1),"Téléphone",IF(AND(AA447&lt;&gt;"",COUNTIFS($AA$9:$AA$678,AA447)&gt;1),"Site web","")))</x:f>
      </x:c>
      <x:c r="J447" s="33" t="str">
        <x:v>Pharmacie Kiaye Boké</x:v>
      </x:c>
      <x:c r="K447" s="33" t="str">
        <x:v>Santé</x:v>
      </x:c>
      <x:c r="L447" s="33" t="str">
        <x:v>Pharmacies</x:v>
      </x:c>
      <x:c r="M447" s="33" t="str">
        <x:v>Conakry (à vérifier)</x:v>
      </x:c>
      <x:c r="N447" s="33" t="str"/>
      <x:c r="O447" s="33" t="str"/>
      <x:c r="P447" s="33" t="str">
        <x:v>+224628544466</x:v>
      </x:c>
      <x:c r="Q447" s="33" t="str">
        <x:v>mabakiaye@gmail.com</x:v>
      </x:c>
      <x:c r="R447" s="33" t="str"/>
      <x:c r="S447" s="33" t="str"/>
      <x:c r="T447" s="35" t="n">
        <x:v>9.6226919</x:v>
      </x:c>
      <x:c r="U447" s="35" t="n">
        <x:v>-13.581721</x:v>
      </x:c>
      <x:c r="V447" s="33" t="str">
        <x:v>https://www.openstreetmap.org/node/5611985569</x:v>
      </x:c>
      <x:c r="W447" s="33" t="str">
        <x:v>node/5611985569</x:v>
      </x:c>
      <x:c r="X447" s="33" t="str">
        <x:v>review_required</x:v>
      </x:c>
      <x:c r="Y447" s="33" t="str">
        <x:v>pharmacie kiaye boke|conakry a verifier</x:v>
      </x:c>
      <x:c r="Z447" s="33" t="str">
        <x:v>224628544466</x:v>
      </x:c>
      <x:c r="AA447" s="33" t="str"/>
    </x:row>
    <x:row r="448">
      <x:c r="A448" s="30" t="str">
        <x:v>À vérifier</x:v>
      </x:c>
      <x:c r="B448" s="30" t="str"/>
      <x:c r="C448" s="31"/>
      <x:c r="D448" s="30" t="str">
        <x:v>Non vérifié</x:v>
      </x:c>
      <x:c r="E448" s="30" t="str"/>
      <x:c r="F448" s="30" t="str"/>
      <x:c r="G448" s="32" t="str"/>
      <x:c r="H448" s="33" t="str">
        <x:f>IF(I448&lt;&gt;"","Doublon possible","")</x:f>
      </x:c>
      <x:c r="I448" s="33" t="str">
        <x:f>IF(COUNTIFS($Y$9:$Y$678,Y448)&gt;1,"Nom + ville",IF(AND(Z448&lt;&gt;"",COUNTIFS($Z$9:$Z$678,Z448)&gt;1),"Téléphone",IF(AND(AA448&lt;&gt;"",COUNTIFS($AA$9:$AA$678,AA448)&gt;1),"Site web","")))</x:f>
      </x:c>
      <x:c r="J448" s="33" t="str">
        <x:v>Pharmacie Kondebounji T1</x:v>
      </x:c>
      <x:c r="K448" s="33" t="str">
        <x:v>Santé</x:v>
      </x:c>
      <x:c r="L448" s="33" t="str">
        <x:v>Pharmacies</x:v>
      </x:c>
      <x:c r="M448" s="33" t="str">
        <x:v>Conakry (à vérifier)</x:v>
      </x:c>
      <x:c r="N448" s="33" t="str"/>
      <x:c r="O448" s="33" t="str"/>
      <x:c r="P448" s="33" t="str">
        <x:v>+224622027710</x:v>
      </x:c>
      <x:c r="Q448" s="33" t="str"/>
      <x:c r="R448" s="33" t="str"/>
      <x:c r="S448" s="33" t="str"/>
      <x:c r="T448" s="35" t="n">
        <x:v>9.5689212</x:v>
      </x:c>
      <x:c r="U448" s="35" t="n">
        <x:v>-13.6366245</x:v>
      </x:c>
      <x:c r="V448" s="33" t="str">
        <x:v>https://www.openstreetmap.org/node/4764511623</x:v>
      </x:c>
      <x:c r="W448" s="33" t="str">
        <x:v>node/4764511623</x:v>
      </x:c>
      <x:c r="X448" s="33" t="str">
        <x:v>review_required</x:v>
      </x:c>
      <x:c r="Y448" s="33" t="str">
        <x:v>pharmacie kondebounji t1|conakry a verifier</x:v>
      </x:c>
      <x:c r="Z448" s="33" t="str">
        <x:v>224622027710</x:v>
      </x:c>
      <x:c r="AA448" s="33" t="str"/>
    </x:row>
    <x:row r="449">
      <x:c r="A449" s="30" t="str">
        <x:v>À vérifier</x:v>
      </x:c>
      <x:c r="B449" s="30" t="str"/>
      <x:c r="C449" s="31"/>
      <x:c r="D449" s="30" t="str">
        <x:v>Non vérifié</x:v>
      </x:c>
      <x:c r="E449" s="30" t="str"/>
      <x:c r="F449" s="30" t="str"/>
      <x:c r="G449" s="32" t="str"/>
      <x:c r="H449" s="33" t="str">
        <x:f>IF(I449&lt;&gt;"","Doublon possible","")</x:f>
      </x:c>
      <x:c r="I449" s="33" t="str">
        <x:f>IF(COUNTIFS($Y$9:$Y$678,Y449)&gt;1,"Nom + ville",IF(AND(Z449&lt;&gt;"",COUNTIFS($Z$9:$Z$678,Z449)&gt;1),"Téléphone",IF(AND(AA449&lt;&gt;"",COUNTIFS($AA$9:$AA$678,AA449)&gt;1),"Site web","")))</x:f>
      </x:c>
      <x:c r="J449" s="33" t="str">
        <x:v>Pharmacie Kounady</x:v>
      </x:c>
      <x:c r="K449" s="33" t="str">
        <x:v>Santé</x:v>
      </x:c>
      <x:c r="L449" s="33" t="str">
        <x:v>Pharmacies</x:v>
      </x:c>
      <x:c r="M449" s="33" t="str">
        <x:v>Conakry (à vérifier)</x:v>
      </x:c>
      <x:c r="N449" s="33" t="str"/>
      <x:c r="O449" s="33" t="str"/>
      <x:c r="P449" s="33" t="str">
        <x:v>+224628273688</x:v>
      </x:c>
      <x:c r="Q449" s="33" t="str">
        <x:v>pharmaciekounady@gmail.com</x:v>
      </x:c>
      <x:c r="R449" s="33" t="str"/>
      <x:c r="S449" s="33" t="str"/>
      <x:c r="T449" s="35" t="n">
        <x:v>9.6854579</x:v>
      </x:c>
      <x:c r="U449" s="35" t="n">
        <x:v>-13.5130401</x:v>
      </x:c>
      <x:c r="V449" s="33" t="str">
        <x:v>https://www.openstreetmap.org/node/5647532201</x:v>
      </x:c>
      <x:c r="W449" s="33" t="str">
        <x:v>node/5647532201</x:v>
      </x:c>
      <x:c r="X449" s="33" t="str">
        <x:v>review_required</x:v>
      </x:c>
      <x:c r="Y449" s="33" t="str">
        <x:v>pharmacie kounady|conakry a verifier</x:v>
      </x:c>
      <x:c r="Z449" s="33" t="str">
        <x:v>224628273688</x:v>
      </x:c>
      <x:c r="AA449" s="33" t="str"/>
    </x:row>
    <x:row r="450">
      <x:c r="A450" s="30" t="str">
        <x:v>À vérifier</x:v>
      </x:c>
      <x:c r="B450" s="30" t="str"/>
      <x:c r="C450" s="31"/>
      <x:c r="D450" s="30" t="str">
        <x:v>Non vérifié</x:v>
      </x:c>
      <x:c r="E450" s="30" t="str"/>
      <x:c r="F450" s="30" t="str"/>
      <x:c r="G450" s="32" t="str"/>
      <x:c r="H450" s="33" t="str">
        <x:f>IF(I450&lt;&gt;"","Doublon possible","")</x:f>
      </x:c>
      <x:c r="I450" s="33" t="str">
        <x:f>IF(COUNTIFS($Y$9:$Y$678,Y450)&gt;1,"Nom + ville",IF(AND(Z450&lt;&gt;"",COUNTIFS($Z$9:$Z$678,Z450)&gt;1),"Téléphone",IF(AND(AA450&lt;&gt;"",COUNTIFS($AA$9:$AA$678,AA450)&gt;1),"Site web","")))</x:f>
      </x:c>
      <x:c r="J450" s="33" t="str">
        <x:v>Pharmacie la piete</x:v>
      </x:c>
      <x:c r="K450" s="33" t="str">
        <x:v>Santé</x:v>
      </x:c>
      <x:c r="L450" s="33" t="str">
        <x:v>Pharmacies</x:v>
      </x:c>
      <x:c r="M450" s="33" t="str">
        <x:v>Conakry (à vérifier)</x:v>
      </x:c>
      <x:c r="N450" s="33" t="str"/>
      <x:c r="O450" s="33" t="str"/>
      <x:c r="P450" s="33" t="str">
        <x:v>+224664234842</x:v>
      </x:c>
      <x:c r="Q450" s="33" t="str"/>
      <x:c r="R450" s="33" t="str"/>
      <x:c r="S450" s="33" t="str"/>
      <x:c r="T450" s="35" t="n">
        <x:v>9.5631959</x:v>
      </x:c>
      <x:c r="U450" s="35" t="n">
        <x:v>-13.6379744</x:v>
      </x:c>
      <x:c r="V450" s="33" t="str">
        <x:v>https://www.openstreetmap.org/node/5494060426</x:v>
      </x:c>
      <x:c r="W450" s="33" t="str">
        <x:v>node/5494060426</x:v>
      </x:c>
      <x:c r="X450" s="33" t="str">
        <x:v>review_required</x:v>
      </x:c>
      <x:c r="Y450" s="33" t="str">
        <x:v>pharmacie la piete|conakry a verifier</x:v>
      </x:c>
      <x:c r="Z450" s="33" t="str">
        <x:v>224664234842</x:v>
      </x:c>
      <x:c r="AA450" s="33" t="str"/>
    </x:row>
    <x:row r="451">
      <x:c r="A451" s="30" t="str">
        <x:v>À vérifier</x:v>
      </x:c>
      <x:c r="B451" s="30" t="str"/>
      <x:c r="C451" s="31"/>
      <x:c r="D451" s="30" t="str">
        <x:v>Non vérifié</x:v>
      </x:c>
      <x:c r="E451" s="30" t="str"/>
      <x:c r="F451" s="30" t="str"/>
      <x:c r="G451" s="32" t="str"/>
      <x:c r="H451" s="33" t="str">
        <x:f>IF(I451&lt;&gt;"","Doublon possible","")</x:f>
      </x:c>
      <x:c r="I451" s="33" t="str">
        <x:f>IF(COUNTIFS($Y$9:$Y$678,Y451)&gt;1,"Nom + ville",IF(AND(Z451&lt;&gt;"",COUNTIFS($Z$9:$Z$678,Z451)&gt;1),"Téléphone",IF(AND(AA451&lt;&gt;"",COUNTIFS($AA$9:$AA$678,AA451)&gt;1),"Site web","")))</x:f>
      </x:c>
      <x:c r="J451" s="33" t="str">
        <x:v>Pharmacie la source</x:v>
      </x:c>
      <x:c r="K451" s="33" t="str">
        <x:v>Santé</x:v>
      </x:c>
      <x:c r="L451" s="33" t="str">
        <x:v>Pharmacies</x:v>
      </x:c>
      <x:c r="M451" s="33" t="str">
        <x:v>Conakry (à vérifier)</x:v>
      </x:c>
      <x:c r="N451" s="33" t="str"/>
      <x:c r="O451" s="33" t="str"/>
      <x:c r="P451" s="33" t="str">
        <x:v>+224626425728</x:v>
      </x:c>
      <x:c r="Q451" s="33" t="str"/>
      <x:c r="R451" s="33" t="str"/>
      <x:c r="S451" s="33" t="str"/>
      <x:c r="T451" s="35" t="n">
        <x:v>9.6817921</x:v>
      </x:c>
      <x:c r="U451" s="35" t="n">
        <x:v>-13.5718397</x:v>
      </x:c>
      <x:c r="V451" s="33" t="str">
        <x:v>https://www.openstreetmap.org/node/5697183299</x:v>
      </x:c>
      <x:c r="W451" s="33" t="str">
        <x:v>node/5697183299</x:v>
      </x:c>
      <x:c r="X451" s="33" t="str">
        <x:v>review_required</x:v>
      </x:c>
      <x:c r="Y451" s="33" t="str">
        <x:v>pharmacie la source|conakry a verifier</x:v>
      </x:c>
      <x:c r="Z451" s="33" t="str">
        <x:v>224626425728</x:v>
      </x:c>
      <x:c r="AA451" s="33" t="str"/>
    </x:row>
    <x:row r="452">
      <x:c r="A452" s="30" t="str">
        <x:v>À vérifier</x:v>
      </x:c>
      <x:c r="B452" s="30" t="str"/>
      <x:c r="C452" s="31"/>
      <x:c r="D452" s="30" t="str">
        <x:v>Non vérifié</x:v>
      </x:c>
      <x:c r="E452" s="30" t="str"/>
      <x:c r="F452" s="30" t="str"/>
      <x:c r="G452" s="32" t="str"/>
      <x:c r="H452" s="33" t="str">
        <x:f>IF(I452&lt;&gt;"","Doublon possible","")</x:f>
      </x:c>
      <x:c r="I452" s="33" t="str">
        <x:f>IF(COUNTIFS($Y$9:$Y$678,Y452)&gt;1,"Nom + ville",IF(AND(Z452&lt;&gt;"",COUNTIFS($Z$9:$Z$678,Z452)&gt;1),"Téléphone",IF(AND(AA452&lt;&gt;"",COUNTIFS($AA$9:$AA$678,AA452)&gt;1),"Site web","")))</x:f>
      </x:c>
      <x:c r="J452" s="33" t="str">
        <x:v>Pharmacie Lama</x:v>
      </x:c>
      <x:c r="K452" s="33" t="str">
        <x:v>Santé</x:v>
      </x:c>
      <x:c r="L452" s="33" t="str">
        <x:v>Pharmacies</x:v>
      </x:c>
      <x:c r="M452" s="33" t="str">
        <x:v>Conakry (à vérifier)</x:v>
      </x:c>
      <x:c r="N452" s="33" t="str"/>
      <x:c r="O452" s="33" t="str"/>
      <x:c r="P452" s="33" t="str">
        <x:v>621062682</x:v>
      </x:c>
      <x:c r="Q452" s="33" t="str"/>
      <x:c r="R452" s="33" t="str"/>
      <x:c r="S452" s="33" t="str"/>
      <x:c r="T452" s="35" t="n">
        <x:v>9.5978731</x:v>
      </x:c>
      <x:c r="U452" s="35" t="n">
        <x:v>-13.6138127</x:v>
      </x:c>
      <x:c r="V452" s="33" t="str">
        <x:v>https://www.openstreetmap.org/node/7359817468</x:v>
      </x:c>
      <x:c r="W452" s="33" t="str">
        <x:v>node/7359817468</x:v>
      </x:c>
      <x:c r="X452" s="33" t="str">
        <x:v>review_required</x:v>
      </x:c>
      <x:c r="Y452" s="33" t="str">
        <x:v>pharmacie lama|conakry a verifier</x:v>
      </x:c>
      <x:c r="Z452" s="33" t="str">
        <x:v>224621062682</x:v>
      </x:c>
      <x:c r="AA452" s="33" t="str"/>
    </x:row>
    <x:row r="453">
      <x:c r="A453" s="30" t="str">
        <x:v>À vérifier</x:v>
      </x:c>
      <x:c r="B453" s="30" t="str"/>
      <x:c r="C453" s="31"/>
      <x:c r="D453" s="30" t="str">
        <x:v>Non vérifié</x:v>
      </x:c>
      <x:c r="E453" s="30" t="str"/>
      <x:c r="F453" s="30" t="str"/>
      <x:c r="G453" s="32" t="str"/>
      <x:c r="H453" s="33" t="str">
        <x:f>IF(I453&lt;&gt;"","Doublon possible","")</x:f>
      </x:c>
      <x:c r="I453" s="33" t="str">
        <x:f>IF(COUNTIFS($Y$9:$Y$678,Y453)&gt;1,"Nom + ville",IF(AND(Z453&lt;&gt;"",COUNTIFS($Z$9:$Z$678,Z453)&gt;1),"Téléphone",IF(AND(AA453&lt;&gt;"",COUNTIFS($AA$9:$AA$678,AA453)&gt;1),"Site web","")))</x:f>
      </x:c>
      <x:c r="J453" s="33" t="str">
        <x:v>pharmacie lambanyi centre</x:v>
      </x:c>
      <x:c r="K453" s="33" t="str">
        <x:v>Santé</x:v>
      </x:c>
      <x:c r="L453" s="33" t="str">
        <x:v>Pharmacies</x:v>
      </x:c>
      <x:c r="M453" s="33" t="str">
        <x:v>Conakry (à vérifier)</x:v>
      </x:c>
      <x:c r="N453" s="33" t="str"/>
      <x:c r="O453" s="33" t="str"/>
      <x:c r="P453" s="33" t="str">
        <x:v>+224664263686</x:v>
      </x:c>
      <x:c r="Q453" s="33" t="str"/>
      <x:c r="R453" s="33" t="str"/>
      <x:c r="S453" s="33" t="str"/>
      <x:c r="T453" s="35" t="n">
        <x:v>9.6373269</x:v>
      </x:c>
      <x:c r="U453" s="35" t="n">
        <x:v>-13.6184672</x:v>
      </x:c>
      <x:c r="V453" s="33" t="str">
        <x:v>https://www.openstreetmap.org/node/5528602732</x:v>
      </x:c>
      <x:c r="W453" s="33" t="str">
        <x:v>node/5528602732</x:v>
      </x:c>
      <x:c r="X453" s="33" t="str">
        <x:v>review_required</x:v>
      </x:c>
      <x:c r="Y453" s="33" t="str">
        <x:v>pharmacie lambanyi centre|conakry a verifier</x:v>
      </x:c>
      <x:c r="Z453" s="33" t="str">
        <x:v>224664263686</x:v>
      </x:c>
      <x:c r="AA453" s="33" t="str"/>
    </x:row>
    <x:row r="454">
      <x:c r="A454" s="30" t="str">
        <x:v>À vérifier</x:v>
      </x:c>
      <x:c r="B454" s="30" t="str"/>
      <x:c r="C454" s="31"/>
      <x:c r="D454" s="30" t="str">
        <x:v>Non vérifié</x:v>
      </x:c>
      <x:c r="E454" s="30" t="str"/>
      <x:c r="F454" s="30" t="str"/>
      <x:c r="G454" s="32" t="str"/>
      <x:c r="H454" s="33" t="str">
        <x:f>IF(I454&lt;&gt;"","Doublon possible","")</x:f>
      </x:c>
      <x:c r="I454" s="33" t="str">
        <x:f>IF(COUNTIFS($Y$9:$Y$678,Y454)&gt;1,"Nom + ville",IF(AND(Z454&lt;&gt;"",COUNTIFS($Z$9:$Z$678,Z454)&gt;1),"Téléphone",IF(AND(AA454&lt;&gt;"",COUNTIFS($AA$9:$AA$678,AA454)&gt;1),"Site web","")))</x:f>
      </x:c>
      <x:c r="J454" s="33" t="str">
        <x:v>Pharmacie Lanbanyi Waryah</x:v>
      </x:c>
      <x:c r="K454" s="33" t="str">
        <x:v>Santé</x:v>
      </x:c>
      <x:c r="L454" s="33" t="str">
        <x:v>Pharmacies</x:v>
      </x:c>
      <x:c r="M454" s="33" t="str">
        <x:v>Conakry (à vérifier)</x:v>
      </x:c>
      <x:c r="N454" s="33" t="str"/>
      <x:c r="O454" s="33" t="str"/>
      <x:c r="P454" s="33" t="str">
        <x:v>+224664242902</x:v>
      </x:c>
      <x:c r="Q454" s="33" t="str"/>
      <x:c r="R454" s="33" t="str"/>
      <x:c r="S454" s="33" t="str"/>
      <x:c r="T454" s="35" t="n">
        <x:v>9.6429632</x:v>
      </x:c>
      <x:c r="U454" s="35" t="n">
        <x:v>-13.6116789</x:v>
      </x:c>
      <x:c r="V454" s="33" t="str">
        <x:v>https://www.openstreetmap.org/node/6042502560</x:v>
      </x:c>
      <x:c r="W454" s="33" t="str">
        <x:v>node/6042502560</x:v>
      </x:c>
      <x:c r="X454" s="33" t="str">
        <x:v>review_required</x:v>
      </x:c>
      <x:c r="Y454" s="33" t="str">
        <x:v>pharmacie lanbanyi waryah|conakry a verifier</x:v>
      </x:c>
      <x:c r="Z454" s="33" t="str">
        <x:v>224664242902</x:v>
      </x:c>
      <x:c r="AA454" s="33" t="str"/>
    </x:row>
    <x:row r="455">
      <x:c r="A455" s="30" t="str">
        <x:v>À vérifier</x:v>
      </x:c>
      <x:c r="B455" s="30" t="str"/>
      <x:c r="C455" s="31"/>
      <x:c r="D455" s="30" t="str">
        <x:v>Non vérifié</x:v>
      </x:c>
      <x:c r="E455" s="30" t="str"/>
      <x:c r="F455" s="30" t="str"/>
      <x:c r="G455" s="32" t="str"/>
      <x:c r="H455" s="33" t="str">
        <x:f>IF(I455&lt;&gt;"","Doublon possible","")</x:f>
      </x:c>
      <x:c r="I455" s="33" t="str">
        <x:f>IF(COUNTIFS($Y$9:$Y$678,Y455)&gt;1,"Nom + ville",IF(AND(Z455&lt;&gt;"",COUNTIFS($Z$9:$Z$678,Z455)&gt;1),"Téléphone",IF(AND(AA455&lt;&gt;"",COUNTIFS($AA$9:$AA$678,AA455)&gt;1),"Site web","")))</x:f>
      </x:c>
      <x:c r="J455" s="33" t="str">
        <x:v>Pharmacie le Galien</x:v>
      </x:c>
      <x:c r="K455" s="33" t="str">
        <x:v>Santé</x:v>
      </x:c>
      <x:c r="L455" s="33" t="str">
        <x:v>Pharmacies</x:v>
      </x:c>
      <x:c r="M455" s="33" t="str">
        <x:v>Conakry (à vérifier)</x:v>
      </x:c>
      <x:c r="N455" s="33" t="str"/>
      <x:c r="O455" s="33" t="str"/>
      <x:c r="P455" s="33" t="str">
        <x:v>+224624050501</x:v>
      </x:c>
      <x:c r="Q455" s="33" t="str"/>
      <x:c r="R455" s="33" t="str"/>
      <x:c r="S455" s="33" t="str"/>
      <x:c r="T455" s="35" t="n">
        <x:v>9.5338546</x:v>
      </x:c>
      <x:c r="U455" s="35" t="n">
        <x:v>-13.6787271</x:v>
      </x:c>
      <x:c r="V455" s="33" t="str">
        <x:v>https://www.openstreetmap.org/node/5784053064</x:v>
      </x:c>
      <x:c r="W455" s="33" t="str">
        <x:v>node/5784053064</x:v>
      </x:c>
      <x:c r="X455" s="33" t="str">
        <x:v>review_required</x:v>
      </x:c>
      <x:c r="Y455" s="33" t="str">
        <x:v>pharmacie le galien|conakry a verifier</x:v>
      </x:c>
      <x:c r="Z455" s="33" t="str">
        <x:v>224624050501</x:v>
      </x:c>
      <x:c r="AA455" s="33" t="str"/>
    </x:row>
    <x:row r="456">
      <x:c r="A456" s="30" t="str">
        <x:v>À vérifier</x:v>
      </x:c>
      <x:c r="B456" s="30" t="str"/>
      <x:c r="C456" s="31"/>
      <x:c r="D456" s="30" t="str">
        <x:v>Non vérifié</x:v>
      </x:c>
      <x:c r="E456" s="30" t="str"/>
      <x:c r="F456" s="30" t="str"/>
      <x:c r="G456" s="32" t="str"/>
      <x:c r="H456" s="33" t="str">
        <x:f>IF(I456&lt;&gt;"","Doublon possible","")</x:f>
      </x:c>
      <x:c r="I456" s="33" t="str">
        <x:f>IF(COUNTIFS($Y$9:$Y$678,Y456)&gt;1,"Nom + ville",IF(AND(Z456&lt;&gt;"",COUNTIFS($Z$9:$Z$678,Z456)&gt;1),"Téléphone",IF(AND(AA456&lt;&gt;"",COUNTIFS($AA$9:$AA$678,AA456)&gt;1),"Site web","")))</x:f>
      </x:c>
      <x:c r="J456" s="33" t="str">
        <x:v>Pharmacie Le Grand</x:v>
      </x:c>
      <x:c r="K456" s="33" t="str">
        <x:v>Santé</x:v>
      </x:c>
      <x:c r="L456" s="33" t="str">
        <x:v>Pharmacies</x:v>
      </x:c>
      <x:c r="M456" s="33" t="str">
        <x:v>Conakry (à vérifier)</x:v>
      </x:c>
      <x:c r="N456" s="33" t="str"/>
      <x:c r="O456" s="33" t="str"/>
      <x:c r="P456" s="33" t="str">
        <x:v>+224628237171</x:v>
      </x:c>
      <x:c r="Q456" s="33" t="str"/>
      <x:c r="R456" s="33" t="str"/>
      <x:c r="S456" s="33" t="str"/>
      <x:c r="T456" s="35" t="n">
        <x:v>9.6348387</x:v>
      </x:c>
      <x:c r="U456" s="35" t="n">
        <x:v>-13.613133</x:v>
      </x:c>
      <x:c r="V456" s="33" t="str">
        <x:v>https://www.openstreetmap.org/node/5528602842</x:v>
      </x:c>
      <x:c r="W456" s="33" t="str">
        <x:v>node/5528602842</x:v>
      </x:c>
      <x:c r="X456" s="33" t="str">
        <x:v>review_required</x:v>
      </x:c>
      <x:c r="Y456" s="33" t="str">
        <x:v>pharmacie le grand|conakry a verifier</x:v>
      </x:c>
      <x:c r="Z456" s="33" t="str">
        <x:v>224628237171</x:v>
      </x:c>
      <x:c r="AA456" s="33" t="str"/>
    </x:row>
    <x:row r="457">
      <x:c r="A457" s="30" t="str">
        <x:v>À vérifier</x:v>
      </x:c>
      <x:c r="B457" s="30" t="str"/>
      <x:c r="C457" s="31"/>
      <x:c r="D457" s="30" t="str">
        <x:v>Non vérifié</x:v>
      </x:c>
      <x:c r="E457" s="30" t="str"/>
      <x:c r="F457" s="30" t="str"/>
      <x:c r="G457" s="32" t="str"/>
      <x:c r="H457" s="33" t="str">
        <x:f>IF(I457&lt;&gt;"","Doublon possible","")</x:f>
      </x:c>
      <x:c r="I457" s="33" t="str">
        <x:f>IF(COUNTIFS($Y$9:$Y$678,Y457)&gt;1,"Nom + ville",IF(AND(Z457&lt;&gt;"",COUNTIFS($Z$9:$Z$678,Z457)&gt;1),"Téléphone",IF(AND(AA457&lt;&gt;"",COUNTIFS($AA$9:$AA$678,AA457)&gt;1),"Site web","")))</x:f>
      </x:c>
      <x:c r="J457" s="33" t="str">
        <x:v>Pharmacie le Prince</x:v>
      </x:c>
      <x:c r="K457" s="33" t="str">
        <x:v>Santé</x:v>
      </x:c>
      <x:c r="L457" s="33" t="str">
        <x:v>Pharmacies</x:v>
      </x:c>
      <x:c r="M457" s="33" t="str">
        <x:v>Conakry (à vérifier)</x:v>
      </x:c>
      <x:c r="N457" s="33" t="str"/>
      <x:c r="O457" s="33" t="str"/>
      <x:c r="P457" s="33" t="str">
        <x:v>+224666712721</x:v>
      </x:c>
      <x:c r="Q457" s="33" t="str"/>
      <x:c r="R457" s="33" t="str"/>
      <x:c r="S457" s="33" t="str"/>
      <x:c r="T457" s="35" t="n">
        <x:v>9.5752597</x:v>
      </x:c>
      <x:c r="U457" s="35" t="n">
        <x:v>-13.6571063</x:v>
      </x:c>
      <x:c r="V457" s="33" t="str">
        <x:v>https://www.openstreetmap.org/node/5861158979</x:v>
      </x:c>
      <x:c r="W457" s="33" t="str">
        <x:v>node/5861158979</x:v>
      </x:c>
      <x:c r="X457" s="33" t="str">
        <x:v>review_required</x:v>
      </x:c>
      <x:c r="Y457" s="33" t="str">
        <x:v>pharmacie le prince|conakry a verifier</x:v>
      </x:c>
      <x:c r="Z457" s="33" t="str">
        <x:v>224666712721</x:v>
      </x:c>
      <x:c r="AA457" s="33" t="str"/>
    </x:row>
    <x:row r="458">
      <x:c r="A458" s="30" t="str">
        <x:v>À vérifier</x:v>
      </x:c>
      <x:c r="B458" s="30" t="str"/>
      <x:c r="C458" s="31"/>
      <x:c r="D458" s="30" t="str">
        <x:v>Non vérifié</x:v>
      </x:c>
      <x:c r="E458" s="30" t="str"/>
      <x:c r="F458" s="30" t="str"/>
      <x:c r="G458" s="32" t="str"/>
      <x:c r="H458" s="33" t="str">
        <x:f>IF(I458&lt;&gt;"","Doublon possible","")</x:f>
      </x:c>
      <x:c r="I458" s="33" t="str">
        <x:f>IF(COUNTIFS($Y$9:$Y$678,Y458)&gt;1,"Nom + ville",IF(AND(Z458&lt;&gt;"",COUNTIFS($Z$9:$Z$678,Z458)&gt;1),"Téléphone",IF(AND(AA458&lt;&gt;"",COUNTIFS($AA$9:$AA$678,AA458)&gt;1),"Site web","")))</x:f>
      </x:c>
      <x:c r="J458" s="33" t="str">
        <x:v>Pharmacie Limania</x:v>
      </x:c>
      <x:c r="K458" s="33" t="str">
        <x:v>Santé</x:v>
      </x:c>
      <x:c r="L458" s="33" t="str">
        <x:v>Pharmacies</x:v>
      </x:c>
      <x:c r="M458" s="33" t="str">
        <x:v>Conakry (à vérifier)</x:v>
      </x:c>
      <x:c r="N458" s="33" t="str"/>
      <x:c r="O458" s="33" t="str"/>
      <x:c r="P458" s="33" t="str">
        <x:v>+224628844193</x:v>
      </x:c>
      <x:c r="Q458" s="33" t="str"/>
      <x:c r="R458" s="33" t="str"/>
      <x:c r="S458" s="33" t="str"/>
      <x:c r="T458" s="35" t="n">
        <x:v>9.5656637</x:v>
      </x:c>
      <x:c r="U458" s="35" t="n">
        <x:v>-13.6222174</x:v>
      </x:c>
      <x:c r="V458" s="33" t="str">
        <x:v>https://www.openstreetmap.org/node/6008503395</x:v>
      </x:c>
      <x:c r="W458" s="33" t="str">
        <x:v>node/6008503395</x:v>
      </x:c>
      <x:c r="X458" s="33" t="str">
        <x:v>review_required</x:v>
      </x:c>
      <x:c r="Y458" s="33" t="str">
        <x:v>pharmacie limania|conakry a verifier</x:v>
      </x:c>
      <x:c r="Z458" s="33" t="str">
        <x:v>224628844193</x:v>
      </x:c>
      <x:c r="AA458" s="33" t="str"/>
    </x:row>
    <x:row r="459">
      <x:c r="A459" s="30" t="str">
        <x:v>À vérifier</x:v>
      </x:c>
      <x:c r="B459" s="30" t="str"/>
      <x:c r="C459" s="31"/>
      <x:c r="D459" s="30" t="str">
        <x:v>Non vérifié</x:v>
      </x:c>
      <x:c r="E459" s="30" t="str"/>
      <x:c r="F459" s="30" t="str"/>
      <x:c r="G459" s="32" t="str"/>
      <x:c r="H459" s="33" t="str">
        <x:f>IF(I459&lt;&gt;"","Doublon possible","")</x:f>
      </x:c>
      <x:c r="I459" s="33" t="str">
        <x:f>IF(COUNTIFS($Y$9:$Y$678,Y459)&gt;1,"Nom + ville",IF(AND(Z459&lt;&gt;"",COUNTIFS($Z$9:$Z$678,Z459)&gt;1),"Téléphone",IF(AND(AA459&lt;&gt;"",COUNTIFS($AA$9:$AA$678,AA459)&gt;1),"Site web","")))</x:f>
      </x:c>
      <x:c r="J459" s="33" t="str">
        <x:v>Pharmacie Lomou</x:v>
      </x:c>
      <x:c r="K459" s="33" t="str">
        <x:v>Santé</x:v>
      </x:c>
      <x:c r="L459" s="33" t="str">
        <x:v>Pharmacies</x:v>
      </x:c>
      <x:c r="M459" s="33" t="str">
        <x:v>Conakry (à vérifier)</x:v>
      </x:c>
      <x:c r="N459" s="33" t="str"/>
      <x:c r="O459" s="33" t="str"/>
      <x:c r="P459" s="33" t="str">
        <x:v>+224631626365</x:v>
      </x:c>
      <x:c r="Q459" s="33" t="str"/>
      <x:c r="R459" s="33" t="str"/>
      <x:c r="S459" s="33" t="str"/>
      <x:c r="T459" s="35" t="n">
        <x:v>9.5693449</x:v>
      </x:c>
      <x:c r="U459" s="35" t="n">
        <x:v>-13.6450258</x:v>
      </x:c>
      <x:c r="V459" s="33" t="str">
        <x:v>https://www.openstreetmap.org/node/5483737791</x:v>
      </x:c>
      <x:c r="W459" s="33" t="str">
        <x:v>node/5483737791</x:v>
      </x:c>
      <x:c r="X459" s="33" t="str">
        <x:v>review_required</x:v>
      </x:c>
      <x:c r="Y459" s="33" t="str">
        <x:v>pharmacie lomou|conakry a verifier</x:v>
      </x:c>
      <x:c r="Z459" s="33" t="str">
        <x:v>224631626365</x:v>
      </x:c>
      <x:c r="AA459" s="33" t="str"/>
    </x:row>
    <x:row r="460">
      <x:c r="A460" s="30" t="str">
        <x:v>À vérifier</x:v>
      </x:c>
      <x:c r="B460" s="30" t="str"/>
      <x:c r="C460" s="31"/>
      <x:c r="D460" s="30" t="str">
        <x:v>Non vérifié</x:v>
      </x:c>
      <x:c r="E460" s="30" t="str"/>
      <x:c r="F460" s="30" t="str"/>
      <x:c r="G460" s="32" t="str"/>
      <x:c r="H460" s="33" t="str">
        <x:f>IF(I460&lt;&gt;"","Doublon possible","")</x:f>
      </x:c>
      <x:c r="I460" s="33" t="str">
        <x:f>IF(COUNTIFS($Y$9:$Y$678,Y460)&gt;1,"Nom + ville",IF(AND(Z460&lt;&gt;"",COUNTIFS($Z$9:$Z$678,Z460)&gt;1),"Téléphone",IF(AND(AA460&lt;&gt;"",COUNTIFS($AA$9:$AA$678,AA460)&gt;1),"Site web","")))</x:f>
      </x:c>
      <x:c r="J460" s="33" t="str">
        <x:v>Pharmacie lumière</x:v>
      </x:c>
      <x:c r="K460" s="33" t="str">
        <x:v>Santé</x:v>
      </x:c>
      <x:c r="L460" s="33" t="str">
        <x:v>Pharmacies</x:v>
      </x:c>
      <x:c r="M460" s="33" t="str">
        <x:v>Conakry (à vérifier)</x:v>
      </x:c>
      <x:c r="N460" s="33" t="str"/>
      <x:c r="O460" s="33" t="str"/>
      <x:c r="P460" s="33" t="str">
        <x:v>621945799</x:v>
      </x:c>
      <x:c r="Q460" s="33" t="str"/>
      <x:c r="R460" s="33" t="str"/>
      <x:c r="S460" s="33" t="str"/>
      <x:c r="T460" s="35" t="n">
        <x:v>9.6414785</x:v>
      </x:c>
      <x:c r="U460" s="35" t="n">
        <x:v>-13.5869481</x:v>
      </x:c>
      <x:c r="V460" s="33" t="str">
        <x:v>https://www.openstreetmap.org/node/5682968143</x:v>
      </x:c>
      <x:c r="W460" s="33" t="str">
        <x:v>node/5682968143</x:v>
      </x:c>
      <x:c r="X460" s="33" t="str">
        <x:v>review_required</x:v>
      </x:c>
      <x:c r="Y460" s="33" t="str">
        <x:v>pharmacie lumiere|conakry a verifier</x:v>
      </x:c>
      <x:c r="Z460" s="33" t="str">
        <x:v>224621945799</x:v>
      </x:c>
      <x:c r="AA460" s="33" t="str"/>
    </x:row>
    <x:row r="461">
      <x:c r="A461" s="30" t="str">
        <x:v>À vérifier</x:v>
      </x:c>
      <x:c r="B461" s="30" t="str"/>
      <x:c r="C461" s="31"/>
      <x:c r="D461" s="30" t="str">
        <x:v>Non vérifié</x:v>
      </x:c>
      <x:c r="E461" s="30" t="str"/>
      <x:c r="F461" s="30" t="str"/>
      <x:c r="G461" s="32" t="str"/>
      <x:c r="H461" s="33" t="str">
        <x:f>IF(I461&lt;&gt;"","Doublon possible","")</x:f>
      </x:c>
      <x:c r="I461" s="33" t="str">
        <x:f>IF(COUNTIFS($Y$9:$Y$678,Y461)&gt;1,"Nom + ville",IF(AND(Z461&lt;&gt;"",COUNTIFS($Z$9:$Z$678,Z461)&gt;1),"Téléphone",IF(AND(AA461&lt;&gt;"",COUNTIFS($AA$9:$AA$678,AA461)&gt;1),"Site web","")))</x:f>
      </x:c>
      <x:c r="J461" s="33" t="str">
        <x:v>Pharmacie M'Mah</x:v>
      </x:c>
      <x:c r="K461" s="33" t="str">
        <x:v>Santé</x:v>
      </x:c>
      <x:c r="L461" s="33" t="str">
        <x:v>Pharmacies</x:v>
      </x:c>
      <x:c r="M461" s="33" t="str">
        <x:v>Conakry (à vérifier)</x:v>
      </x:c>
      <x:c r="N461" s="33" t="str"/>
      <x:c r="O461" s="33" t="str"/>
      <x:c r="P461" s="33" t="str">
        <x:v>+224657264289</x:v>
      </x:c>
      <x:c r="Q461" s="33" t="str"/>
      <x:c r="R461" s="33" t="str"/>
      <x:c r="S461" s="33" t="str"/>
      <x:c r="T461" s="35" t="n">
        <x:v>9.66223</x:v>
      </x:c>
      <x:c r="U461" s="35" t="n">
        <x:v>-13.5304345</x:v>
      </x:c>
      <x:c r="V461" s="33" t="str">
        <x:v>https://www.openstreetmap.org/node/5592972625</x:v>
      </x:c>
      <x:c r="W461" s="33" t="str">
        <x:v>node/5592972625</x:v>
      </x:c>
      <x:c r="X461" s="33" t="str">
        <x:v>review_required</x:v>
      </x:c>
      <x:c r="Y461" s="33" t="str">
        <x:v>pharmacie m mah|conakry a verifier</x:v>
      </x:c>
      <x:c r="Z461" s="33" t="str">
        <x:v>224657264289</x:v>
      </x:c>
      <x:c r="AA461" s="33" t="str"/>
    </x:row>
    <x:row r="462">
      <x:c r="A462" s="30" t="str">
        <x:v>À vérifier</x:v>
      </x:c>
      <x:c r="B462" s="30" t="str"/>
      <x:c r="C462" s="31"/>
      <x:c r="D462" s="30" t="str">
        <x:v>Non vérifié</x:v>
      </x:c>
      <x:c r="E462" s="30" t="str"/>
      <x:c r="F462" s="30" t="str"/>
      <x:c r="G462" s="32" t="str"/>
      <x:c r="H462" s="33" t="str">
        <x:f>IF(I462&lt;&gt;"","Doublon possible","")</x:f>
      </x:c>
      <x:c r="I462" s="33" t="str">
        <x:f>IF(COUNTIFS($Y$9:$Y$678,Y462)&gt;1,"Nom + ville",IF(AND(Z462&lt;&gt;"",COUNTIFS($Z$9:$Z$678,Z462)&gt;1),"Téléphone",IF(AND(AA462&lt;&gt;"",COUNTIFS($AA$9:$AA$678,AA462)&gt;1),"Site web","")))</x:f>
      </x:c>
      <x:c r="J462" s="33" t="str">
        <x:v>Pharmacie Madeleine</x:v>
      </x:c>
      <x:c r="K462" s="33" t="str">
        <x:v>Santé</x:v>
      </x:c>
      <x:c r="L462" s="33" t="str">
        <x:v>Pharmacies</x:v>
      </x:c>
      <x:c r="M462" s="33" t="str">
        <x:v>Conakry (à vérifier)</x:v>
      </x:c>
      <x:c r="N462" s="33" t="str"/>
      <x:c r="O462" s="33" t="str"/>
      <x:c r="P462" s="33" t="str">
        <x:v>+224628694360</x:v>
      </x:c>
      <x:c r="Q462" s="33" t="str"/>
      <x:c r="R462" s="33" t="str"/>
      <x:c r="S462" s="33" t="str"/>
      <x:c r="T462" s="35" t="n">
        <x:v>9.5351244</x:v>
      </x:c>
      <x:c r="U462" s="35" t="n">
        <x:v>-13.6779266</x:v>
      </x:c>
      <x:c r="V462" s="33" t="str">
        <x:v>https://www.openstreetmap.org/node/5784052360</x:v>
      </x:c>
      <x:c r="W462" s="33" t="str">
        <x:v>node/5784052360</x:v>
      </x:c>
      <x:c r="X462" s="33" t="str">
        <x:v>review_required</x:v>
      </x:c>
      <x:c r="Y462" s="33" t="str">
        <x:v>pharmacie madeleine|conakry a verifier</x:v>
      </x:c>
      <x:c r="Z462" s="33" t="str">
        <x:v>224628694360</x:v>
      </x:c>
      <x:c r="AA462" s="33" t="str"/>
    </x:row>
    <x:row r="463">
      <x:c r="A463" s="30" t="str">
        <x:v>À vérifier</x:v>
      </x:c>
      <x:c r="B463" s="30" t="str"/>
      <x:c r="C463" s="31"/>
      <x:c r="D463" s="30" t="str">
        <x:v>Non vérifié</x:v>
      </x:c>
      <x:c r="E463" s="30" t="str"/>
      <x:c r="F463" s="30" t="str"/>
      <x:c r="G463" s="32" t="str"/>
      <x:c r="H463" s="33" t="str">
        <x:f>IF(I463&lt;&gt;"","Doublon possible","")</x:f>
      </x:c>
      <x:c r="I463" s="33" t="str">
        <x:f>IF(COUNTIFS($Y$9:$Y$678,Y463)&gt;1,"Nom + ville",IF(AND(Z463&lt;&gt;"",COUNTIFS($Z$9:$Z$678,Z463)&gt;1),"Téléphone",IF(AND(AA463&lt;&gt;"",COUNTIFS($AA$9:$AA$678,AA463)&gt;1),"Site web","")))</x:f>
      </x:c>
      <x:c r="J463" s="33" t="str">
        <x:v>Pharmacie Mafanco</x:v>
      </x:c>
      <x:c r="K463" s="33" t="str">
        <x:v>Santé</x:v>
      </x:c>
      <x:c r="L463" s="33" t="str">
        <x:v>Pharmacies</x:v>
      </x:c>
      <x:c r="M463" s="33" t="str">
        <x:v>Conakry (à vérifier)</x:v>
      </x:c>
      <x:c r="N463" s="33" t="str"/>
      <x:c r="O463" s="33" t="str"/>
      <x:c r="P463" s="33" t="str">
        <x:v>+224622515943</x:v>
      </x:c>
      <x:c r="Q463" s="33" t="str"/>
      <x:c r="R463" s="33" t="str"/>
      <x:c r="S463" s="33" t="str"/>
      <x:c r="T463" s="35" t="n">
        <x:v>9.5392442</x:v>
      </x:c>
      <x:c r="U463" s="35" t="n">
        <x:v>-13.6710217</x:v>
      </x:c>
      <x:c r="V463" s="33" t="str">
        <x:v>https://www.openstreetmap.org/node/5494058808</x:v>
      </x:c>
      <x:c r="W463" s="33" t="str">
        <x:v>node/5494058808</x:v>
      </x:c>
      <x:c r="X463" s="33" t="str">
        <x:v>review_required</x:v>
      </x:c>
      <x:c r="Y463" s="33" t="str">
        <x:v>pharmacie mafanco|conakry a verifier</x:v>
      </x:c>
      <x:c r="Z463" s="33" t="str">
        <x:v>224622515943</x:v>
      </x:c>
      <x:c r="AA463" s="33" t="str"/>
    </x:row>
    <x:row r="464">
      <x:c r="A464" s="30" t="str">
        <x:v>À vérifier</x:v>
      </x:c>
      <x:c r="B464" s="30" t="str"/>
      <x:c r="C464" s="31"/>
      <x:c r="D464" s="30" t="str">
        <x:v>Non vérifié</x:v>
      </x:c>
      <x:c r="E464" s="30" t="str"/>
      <x:c r="F464" s="30" t="str"/>
      <x:c r="G464" s="32" t="str"/>
      <x:c r="H464" s="33" t="str">
        <x:f>IF(I464&lt;&gt;"","Doublon possible","")</x:f>
      </x:c>
      <x:c r="I464" s="33" t="str">
        <x:f>IF(COUNTIFS($Y$9:$Y$678,Y464)&gt;1,"Nom + ville",IF(AND(Z464&lt;&gt;"",COUNTIFS($Z$9:$Z$678,Z464)&gt;1),"Téléphone",IF(AND(AA464&lt;&gt;"",COUNTIFS($AA$9:$AA$678,AA464)&gt;1),"Site web","")))</x:f>
      </x:c>
      <x:c r="J464" s="33" t="str">
        <x:v>Pharmacie Mallon</x:v>
      </x:c>
      <x:c r="K464" s="33" t="str">
        <x:v>Santé</x:v>
      </x:c>
      <x:c r="L464" s="33" t="str">
        <x:v>Pharmacies</x:v>
      </x:c>
      <x:c r="M464" s="33" t="str">
        <x:v>Conakry (à vérifier)</x:v>
      </x:c>
      <x:c r="N464" s="33" t="str"/>
      <x:c r="O464" s="33" t="str"/>
      <x:c r="P464" s="33" t="str">
        <x:v>621576572</x:v>
      </x:c>
      <x:c r="Q464" s="33" t="str"/>
      <x:c r="R464" s="33" t="str"/>
      <x:c r="S464" s="33" t="str"/>
      <x:c r="T464" s="35" t="n">
        <x:v>9.5538605</x:v>
      </x:c>
      <x:c r="U464" s="35" t="n">
        <x:v>-13.6474295</x:v>
      </x:c>
      <x:c r="V464" s="33" t="str">
        <x:v>https://www.openstreetmap.org/node/6182000243</x:v>
      </x:c>
      <x:c r="W464" s="33" t="str">
        <x:v>node/6182000243</x:v>
      </x:c>
      <x:c r="X464" s="33" t="str">
        <x:v>review_required</x:v>
      </x:c>
      <x:c r="Y464" s="33" t="str">
        <x:v>pharmacie mallon|conakry a verifier</x:v>
      </x:c>
      <x:c r="Z464" s="33" t="str">
        <x:v>224621576572</x:v>
      </x:c>
      <x:c r="AA464" s="33" t="str"/>
    </x:row>
    <x:row r="465">
      <x:c r="A465" s="30" t="str">
        <x:v>À vérifier</x:v>
      </x:c>
      <x:c r="B465" s="30" t="str"/>
      <x:c r="C465" s="31"/>
      <x:c r="D465" s="30" t="str">
        <x:v>Non vérifié</x:v>
      </x:c>
      <x:c r="E465" s="30" t="str"/>
      <x:c r="F465" s="30" t="str"/>
      <x:c r="G465" s="32" t="str"/>
      <x:c r="H465" s="33" t="str">
        <x:f>IF(I465&lt;&gt;"","Doublon possible","")</x:f>
      </x:c>
      <x:c r="I465" s="33" t="str">
        <x:f>IF(COUNTIFS($Y$9:$Y$678,Y465)&gt;1,"Nom + ville",IF(AND(Z465&lt;&gt;"",COUNTIFS($Z$9:$Z$678,Z465)&gt;1),"Téléphone",IF(AND(AA465&lt;&gt;"",COUNTIFS($AA$9:$AA$678,AA465)&gt;1),"Site web","")))</x:f>
      </x:c>
      <x:c r="J465" s="33" t="str">
        <x:v>Pharmacie Mama Dalanda</x:v>
      </x:c>
      <x:c r="K465" s="33" t="str">
        <x:v>Santé</x:v>
      </x:c>
      <x:c r="L465" s="33" t="str">
        <x:v>Pharmacies</x:v>
      </x:c>
      <x:c r="M465" s="33" t="str">
        <x:v>Conakry (à vérifier)</x:v>
      </x:c>
      <x:c r="N465" s="33" t="str"/>
      <x:c r="O465" s="33" t="str">
        <x:v>Transversal 3</x:v>
      </x:c>
      <x:c r="P465" s="33" t="str">
        <x:v>+224622248092</x:v>
      </x:c>
      <x:c r="Q465" s="33" t="str">
        <x:v>oustbalde@Yahoo.fr</x:v>
      </x:c>
      <x:c r="R465" s="33" t="str"/>
      <x:c r="S465" s="33" t="str"/>
      <x:c r="T465" s="35" t="n">
        <x:v>9.6169057</x:v>
      </x:c>
      <x:c r="U465" s="35" t="n">
        <x:v>-13.6180181</x:v>
      </x:c>
      <x:c r="V465" s="33" t="str">
        <x:v>https://www.openstreetmap.org/node/5810957154</x:v>
      </x:c>
      <x:c r="W465" s="33" t="str">
        <x:v>node/5810957154</x:v>
      </x:c>
      <x:c r="X465" s="33" t="str">
        <x:v>review_required</x:v>
      </x:c>
      <x:c r="Y465" s="33" t="str">
        <x:v>pharmacie mama dalanda|conakry a verifier</x:v>
      </x:c>
      <x:c r="Z465" s="33" t="str">
        <x:v>224622248092</x:v>
      </x:c>
      <x:c r="AA465" s="33" t="str"/>
    </x:row>
    <x:row r="466">
      <x:c r="A466" s="30" t="str">
        <x:v>À vérifier</x:v>
      </x:c>
      <x:c r="B466" s="30" t="str"/>
      <x:c r="C466" s="31"/>
      <x:c r="D466" s="30" t="str">
        <x:v>Non vérifié</x:v>
      </x:c>
      <x:c r="E466" s="30" t="str"/>
      <x:c r="F466" s="30" t="str"/>
      <x:c r="G466" s="32" t="str"/>
      <x:c r="H466" s="33" t="str">
        <x:f>IF(I466&lt;&gt;"","Doublon possible","")</x:f>
      </x:c>
      <x:c r="I466" s="33" t="str">
        <x:f>IF(COUNTIFS($Y$9:$Y$678,Y466)&gt;1,"Nom + ville",IF(AND(Z466&lt;&gt;"",COUNTIFS($Z$9:$Z$678,Z466)&gt;1),"Téléphone",IF(AND(AA466&lt;&gt;"",COUNTIFS($AA$9:$AA$678,AA466)&gt;1),"Site web","")))</x:f>
      </x:c>
      <x:c r="J466" s="33" t="str">
        <x:v>Pharmacie Mama Sacko</x:v>
      </x:c>
      <x:c r="K466" s="33" t="str">
        <x:v>Santé</x:v>
      </x:c>
      <x:c r="L466" s="33" t="str">
        <x:v>Pharmacies</x:v>
      </x:c>
      <x:c r="M466" s="33" t="str">
        <x:v>Conakry (à vérifier)</x:v>
      </x:c>
      <x:c r="N466" s="33" t="str"/>
      <x:c r="O466" s="33" t="str"/>
      <x:c r="P466" s="33" t="str">
        <x:v>631840239</x:v>
      </x:c>
      <x:c r="Q466" s="33" t="str"/>
      <x:c r="R466" s="33" t="str"/>
      <x:c r="S466" s="33" t="str"/>
      <x:c r="T466" s="35" t="n">
        <x:v>9.5476952</x:v>
      </x:c>
      <x:c r="U466" s="35" t="n">
        <x:v>-13.6679851</x:v>
      </x:c>
      <x:c r="V466" s="33" t="str">
        <x:v>https://www.openstreetmap.org/node/5489304554</x:v>
      </x:c>
      <x:c r="W466" s="33" t="str">
        <x:v>node/5489304554</x:v>
      </x:c>
      <x:c r="X466" s="33" t="str">
        <x:v>review_required</x:v>
      </x:c>
      <x:c r="Y466" s="33" t="str">
        <x:v>pharmacie mama sacko|conakry a verifier</x:v>
      </x:c>
      <x:c r="Z466" s="33" t="str">
        <x:v>224631840239</x:v>
      </x:c>
      <x:c r="AA466" s="33" t="str"/>
    </x:row>
    <x:row r="467">
      <x:c r="A467" s="30" t="str">
        <x:v>À vérifier</x:v>
      </x:c>
      <x:c r="B467" s="30" t="str"/>
      <x:c r="C467" s="31"/>
      <x:c r="D467" s="30" t="str">
        <x:v>Non vérifié</x:v>
      </x:c>
      <x:c r="E467" s="30" t="str"/>
      <x:c r="F467" s="30" t="str"/>
      <x:c r="G467" s="32" t="str"/>
      <x:c r="H467" s="33" t="str">
        <x:f>IF(I467&lt;&gt;"","Doublon possible","")</x:f>
      </x:c>
      <x:c r="I467" s="33" t="str">
        <x:f>IF(COUNTIFS($Y$9:$Y$678,Y467)&gt;1,"Nom + ville",IF(AND(Z467&lt;&gt;"",COUNTIFS($Z$9:$Z$678,Z467)&gt;1),"Téléphone",IF(AND(AA467&lt;&gt;"",COUNTIFS($AA$9:$AA$678,AA467)&gt;1),"Site web","")))</x:f>
      </x:c>
      <x:c r="J467" s="33" t="str">
        <x:v>Pharmacie Manize Kolie</x:v>
      </x:c>
      <x:c r="K467" s="33" t="str">
        <x:v>Santé</x:v>
      </x:c>
      <x:c r="L467" s="33" t="str">
        <x:v>Pharmacies</x:v>
      </x:c>
      <x:c r="M467" s="33" t="str">
        <x:v>conakry</x:v>
      </x:c>
      <x:c r="N467" s="33" t="str"/>
      <x:c r="O467" s="33" t="str"/>
      <x:c r="P467" s="33" t="str">
        <x:v>+224664255708</x:v>
      </x:c>
      <x:c r="Q467" s="33" t="str"/>
      <x:c r="R467" s="33" t="str"/>
      <x:c r="S467" s="33" t="str"/>
      <x:c r="T467" s="35" t="n">
        <x:v>9.5494818</x:v>
      </x:c>
      <x:c r="U467" s="35" t="n">
        <x:v>-13.6752249</x:v>
      </x:c>
      <x:c r="V467" s="33" t="str">
        <x:v>https://www.openstreetmap.org/node/2865696653</x:v>
      </x:c>
      <x:c r="W467" s="33" t="str">
        <x:v>node/2865696653</x:v>
      </x:c>
      <x:c r="X467" s="33" t="str">
        <x:v>review_required</x:v>
      </x:c>
      <x:c r="Y467" s="33" t="str">
        <x:v>pharmacie manize kolie|conakry</x:v>
      </x:c>
      <x:c r="Z467" s="33" t="str">
        <x:v>224664255708</x:v>
      </x:c>
      <x:c r="AA467" s="33" t="str"/>
    </x:row>
    <x:row r="468">
      <x:c r="A468" s="30" t="str">
        <x:v>À vérifier</x:v>
      </x:c>
      <x:c r="B468" s="30" t="str"/>
      <x:c r="C468" s="31"/>
      <x:c r="D468" s="30" t="str">
        <x:v>Non vérifié</x:v>
      </x:c>
      <x:c r="E468" s="30" t="str"/>
      <x:c r="F468" s="30" t="str"/>
      <x:c r="G468" s="32" t="str"/>
      <x:c r="H468" s="33" t="str">
        <x:f>IF(I468&lt;&gt;"","Doublon possible","")</x:f>
      </x:c>
      <x:c r="I468" s="33" t="str">
        <x:f>IF(COUNTIFS($Y$9:$Y$678,Y468)&gt;1,"Nom + ville",IF(AND(Z468&lt;&gt;"",COUNTIFS($Z$9:$Z$678,Z468)&gt;1),"Téléphone",IF(AND(AA468&lt;&gt;"",COUNTIFS($AA$9:$AA$678,AA468)&gt;1),"Site web","")))</x:f>
      </x:c>
      <x:c r="J468" s="33" t="str">
        <x:v>Pharmacie Maria</x:v>
      </x:c>
      <x:c r="K468" s="33" t="str">
        <x:v>Santé</x:v>
      </x:c>
      <x:c r="L468" s="33" t="str">
        <x:v>Pharmacies</x:v>
      </x:c>
      <x:c r="M468" s="33" t="str">
        <x:v>Conakry (à vérifier)</x:v>
      </x:c>
      <x:c r="N468" s="33" t="str"/>
      <x:c r="O468" s="33" t="str"/>
      <x:c r="P468" s="33" t="str">
        <x:v>+224664243571</x:v>
      </x:c>
      <x:c r="Q468" s="33" t="str"/>
      <x:c r="R468" s="33" t="str"/>
      <x:c r="S468" s="33" t="str"/>
      <x:c r="T468" s="35" t="n">
        <x:v>9.5516331</x:v>
      </x:c>
      <x:c r="U468" s="35" t="n">
        <x:v>-13.6538295</x:v>
      </x:c>
      <x:c r="V468" s="33" t="str">
        <x:v>https://www.openstreetmap.org/node/5970586844</x:v>
      </x:c>
      <x:c r="W468" s="33" t="str">
        <x:v>node/5970586844</x:v>
      </x:c>
      <x:c r="X468" s="33" t="str">
        <x:v>review_required</x:v>
      </x:c>
      <x:c r="Y468" s="33" t="str">
        <x:v>pharmacie maria|conakry a verifier</x:v>
      </x:c>
      <x:c r="Z468" s="33" t="str">
        <x:v>224664243571</x:v>
      </x:c>
      <x:c r="AA468" s="33" t="str"/>
    </x:row>
    <x:row r="469">
      <x:c r="A469" s="30" t="str">
        <x:v>À vérifier</x:v>
      </x:c>
      <x:c r="B469" s="30" t="str"/>
      <x:c r="C469" s="31"/>
      <x:c r="D469" s="30" t="str">
        <x:v>Non vérifié</x:v>
      </x:c>
      <x:c r="E469" s="30" t="str"/>
      <x:c r="F469" s="30" t="str"/>
      <x:c r="G469" s="32" t="str"/>
      <x:c r="H469" s="33" t="str">
        <x:f>IF(I469&lt;&gt;"","Doublon possible","")</x:f>
      </x:c>
      <x:c r="I469" s="33" t="str">
        <x:f>IF(COUNTIFS($Y$9:$Y$678,Y469)&gt;1,"Nom + ville",IF(AND(Z469&lt;&gt;"",COUNTIFS($Z$9:$Z$678,Z469)&gt;1),"Téléphone",IF(AND(AA469&lt;&gt;"",COUNTIFS($AA$9:$AA$678,AA469)&gt;1),"Site web","")))</x:f>
      </x:c>
      <x:c r="J469" s="33" t="str">
        <x:v>Pharmacie MariHam</x:v>
      </x:c>
      <x:c r="K469" s="33" t="str">
        <x:v>Santé</x:v>
      </x:c>
      <x:c r="L469" s="33" t="str">
        <x:v>Pharmacies</x:v>
      </x:c>
      <x:c r="M469" s="33" t="str">
        <x:v>Conakry (à vérifier)</x:v>
      </x:c>
      <x:c r="N469" s="33" t="str"/>
      <x:c r="O469" s="33" t="str"/>
      <x:c r="P469" s="33" t="str">
        <x:v>628290264</x:v>
      </x:c>
      <x:c r="Q469" s="33" t="str"/>
      <x:c r="R469" s="33" t="str"/>
      <x:c r="S469" s="33" t="str"/>
      <x:c r="T469" s="35" t="n">
        <x:v>9.6193971</x:v>
      </x:c>
      <x:c r="U469" s="35" t="n">
        <x:v>-13.6324439</x:v>
      </x:c>
      <x:c r="V469" s="33" t="str">
        <x:v>https://www.openstreetmap.org/node/7379899623</x:v>
      </x:c>
      <x:c r="W469" s="33" t="str">
        <x:v>node/7379899623</x:v>
      </x:c>
      <x:c r="X469" s="33" t="str">
        <x:v>review_required</x:v>
      </x:c>
      <x:c r="Y469" s="33" t="str">
        <x:v>pharmacie mariham|conakry a verifier</x:v>
      </x:c>
      <x:c r="Z469" s="33" t="str">
        <x:v>224628290264</x:v>
      </x:c>
      <x:c r="AA469" s="33" t="str"/>
    </x:row>
    <x:row r="470">
      <x:c r="A470" s="30" t="str">
        <x:v>À vérifier</x:v>
      </x:c>
      <x:c r="B470" s="30" t="str"/>
      <x:c r="C470" s="31"/>
      <x:c r="D470" s="30" t="str">
        <x:v>Non vérifié</x:v>
      </x:c>
      <x:c r="E470" s="30" t="str"/>
      <x:c r="F470" s="30" t="str"/>
      <x:c r="G470" s="32" t="str"/>
      <x:c r="H470" s="33" t="str">
        <x:f>IF(I470&lt;&gt;"","Doublon possible","")</x:f>
      </x:c>
      <x:c r="I470" s="33" t="str">
        <x:f>IF(COUNTIFS($Y$9:$Y$678,Y470)&gt;1,"Nom + ville",IF(AND(Z470&lt;&gt;"",COUNTIFS($Z$9:$Z$678,Z470)&gt;1),"Téléphone",IF(AND(AA470&lt;&gt;"",COUNTIFS($AA$9:$AA$678,AA470)&gt;1),"Site web","")))</x:f>
      </x:c>
      <x:c r="J470" s="33" t="str">
        <x:v>pharmacie Marwane</x:v>
      </x:c>
      <x:c r="K470" s="33" t="str">
        <x:v>Santé</x:v>
      </x:c>
      <x:c r="L470" s="33" t="str">
        <x:v>Pharmacies</x:v>
      </x:c>
      <x:c r="M470" s="33" t="str">
        <x:v>Conakry (à vérifier)</x:v>
      </x:c>
      <x:c r="N470" s="33" t="str"/>
      <x:c r="O470" s="33" t="str"/>
      <x:c r="P470" s="33" t="str">
        <x:v>622466503</x:v>
      </x:c>
      <x:c r="Q470" s="33" t="str"/>
      <x:c r="R470" s="33" t="str"/>
      <x:c r="S470" s="33" t="str"/>
      <x:c r="T470" s="35" t="n">
        <x:v>9.5706819</x:v>
      </x:c>
      <x:c r="U470" s="35" t="n">
        <x:v>-13.6573931</x:v>
      </x:c>
      <x:c r="V470" s="33" t="str">
        <x:v>https://www.openstreetmap.org/node/5550525775</x:v>
      </x:c>
      <x:c r="W470" s="33" t="str">
        <x:v>node/5550525775</x:v>
      </x:c>
      <x:c r="X470" s="33" t="str">
        <x:v>review_required</x:v>
      </x:c>
      <x:c r="Y470" s="33" t="str">
        <x:v>pharmacie marwane|conakry a verifier</x:v>
      </x:c>
      <x:c r="Z470" s="33" t="str">
        <x:v>224622466503</x:v>
      </x:c>
      <x:c r="AA470" s="33" t="str"/>
    </x:row>
    <x:row r="471">
      <x:c r="A471" s="30" t="str">
        <x:v>À vérifier</x:v>
      </x:c>
      <x:c r="B471" s="30" t="str"/>
      <x:c r="C471" s="31"/>
      <x:c r="D471" s="30" t="str">
        <x:v>Non vérifié</x:v>
      </x:c>
      <x:c r="E471" s="30" t="str"/>
      <x:c r="F471" s="30" t="str"/>
      <x:c r="G471" s="32" t="str"/>
      <x:c r="H471" s="33" t="str">
        <x:f>IF(I471&lt;&gt;"","Doublon possible","")</x:f>
      </x:c>
      <x:c r="I471" s="33" t="str">
        <x:f>IF(COUNTIFS($Y$9:$Y$678,Y471)&gt;1,"Nom + ville",IF(AND(Z471&lt;&gt;"",COUNTIFS($Z$9:$Z$678,Z471)&gt;1),"Téléphone",IF(AND(AA471&lt;&gt;"",COUNTIFS($AA$9:$AA$678,AA471)&gt;1),"Site web","")))</x:f>
      </x:c>
      <x:c r="J471" s="33" t="str">
        <x:v>Pharmacie Mercure</x:v>
      </x:c>
      <x:c r="K471" s="33" t="str">
        <x:v>Santé</x:v>
      </x:c>
      <x:c r="L471" s="33" t="str">
        <x:v>Pharmacies</x:v>
      </x:c>
      <x:c r="M471" s="33" t="str">
        <x:v>Conakry (à vérifier)</x:v>
      </x:c>
      <x:c r="N471" s="33" t="str"/>
      <x:c r="O471" s="33" t="str"/>
      <x:c r="P471" s="33" t="str">
        <x:v>+224628767773</x:v>
      </x:c>
      <x:c r="Q471" s="33" t="str"/>
      <x:c r="R471" s="33" t="str"/>
      <x:c r="S471" s="33" t="str"/>
      <x:c r="T471" s="35" t="n">
        <x:v>9.6279393</x:v>
      </x:c>
      <x:c r="U471" s="35" t="n">
        <x:v>-13.5882927</x:v>
      </x:c>
      <x:c r="V471" s="33" t="str">
        <x:v>https://www.openstreetmap.org/node/5522081621</x:v>
      </x:c>
      <x:c r="W471" s="33" t="str">
        <x:v>node/5522081621</x:v>
      </x:c>
      <x:c r="X471" s="33" t="str">
        <x:v>review_required</x:v>
      </x:c>
      <x:c r="Y471" s="33" t="str">
        <x:v>pharmacie mercure|conakry a verifier</x:v>
      </x:c>
      <x:c r="Z471" s="33" t="str">
        <x:v>224628767773</x:v>
      </x:c>
      <x:c r="AA471" s="33" t="str"/>
    </x:row>
    <x:row r="472">
      <x:c r="A472" s="30" t="str">
        <x:v>À vérifier</x:v>
      </x:c>
      <x:c r="B472" s="30" t="str"/>
      <x:c r="C472" s="31"/>
      <x:c r="D472" s="30" t="str">
        <x:v>Non vérifié</x:v>
      </x:c>
      <x:c r="E472" s="30" t="str"/>
      <x:c r="F472" s="30" t="str"/>
      <x:c r="G472" s="32" t="str"/>
      <x:c r="H472" s="33" t="str">
        <x:f>IF(I472&lt;&gt;"","Doublon possible","")</x:f>
      </x:c>
      <x:c r="I472" s="33" t="str">
        <x:f>IF(COUNTIFS($Y$9:$Y$678,Y472)&gt;1,"Nom + ville",IF(AND(Z472&lt;&gt;"",COUNTIFS($Z$9:$Z$678,Z472)&gt;1),"Téléphone",IF(AND(AA472&lt;&gt;"",COUNTIFS($AA$9:$AA$678,AA472)&gt;1),"Site web","")))</x:f>
      </x:c>
      <x:c r="J472" s="33" t="str">
        <x:v>Pharmacie Mme Chérif</x:v>
      </x:c>
      <x:c r="K472" s="33" t="str">
        <x:v>Santé</x:v>
      </x:c>
      <x:c r="L472" s="33" t="str">
        <x:v>Pharmacies</x:v>
      </x:c>
      <x:c r="M472" s="33" t="str">
        <x:v>Conakry (à vérifier)</x:v>
      </x:c>
      <x:c r="N472" s="33" t="str"/>
      <x:c r="O472" s="33" t="str"/>
      <x:c r="P472" s="33" t="str">
        <x:v>+224657124292</x:v>
      </x:c>
      <x:c r="Q472" s="33" t="str"/>
      <x:c r="R472" s="33" t="str"/>
      <x:c r="S472" s="33" t="str"/>
      <x:c r="T472" s="35" t="n">
        <x:v>9.5637477</x:v>
      </x:c>
      <x:c r="U472" s="35" t="n">
        <x:v>-13.6623285</x:v>
      </x:c>
      <x:c r="V472" s="33" t="str">
        <x:v>https://www.openstreetmap.org/node/5550525250</x:v>
      </x:c>
      <x:c r="W472" s="33" t="str">
        <x:v>node/5550525250</x:v>
      </x:c>
      <x:c r="X472" s="33" t="str">
        <x:v>review_required</x:v>
      </x:c>
      <x:c r="Y472" s="33" t="str">
        <x:v>pharmacie mme cherif|conakry a verifier</x:v>
      </x:c>
      <x:c r="Z472" s="33" t="str">
        <x:v>224657124292</x:v>
      </x:c>
      <x:c r="AA472" s="33" t="str"/>
    </x:row>
    <x:row r="473">
      <x:c r="A473" s="30" t="str">
        <x:v>À vérifier</x:v>
      </x:c>
      <x:c r="B473" s="30" t="str"/>
      <x:c r="C473" s="31"/>
      <x:c r="D473" s="30" t="str">
        <x:v>Non vérifié</x:v>
      </x:c>
      <x:c r="E473" s="30" t="str"/>
      <x:c r="F473" s="30" t="str"/>
      <x:c r="G473" s="32" t="str"/>
      <x:c r="H473" s="33" t="str">
        <x:f>IF(I473&lt;&gt;"","Doublon possible","")</x:f>
      </x:c>
      <x:c r="I473" s="33" t="str">
        <x:f>IF(COUNTIFS($Y$9:$Y$678,Y473)&gt;1,"Nom + ville",IF(AND(Z473&lt;&gt;"",COUNTIFS($Z$9:$Z$678,Z473)&gt;1),"Téléphone",IF(AND(AA473&lt;&gt;"",COUNTIFS($AA$9:$AA$678,AA473)&gt;1),"Site web","")))</x:f>
      </x:c>
      <x:c r="J473" s="33" t="str">
        <x:v>Pharmacie morciré</x:v>
      </x:c>
      <x:c r="K473" s="33" t="str">
        <x:v>Santé</x:v>
      </x:c>
      <x:c r="L473" s="33" t="str">
        <x:v>Pharmacies</x:v>
      </x:c>
      <x:c r="M473" s="33" t="str">
        <x:v>Conakry (à vérifier)</x:v>
      </x:c>
      <x:c r="N473" s="33" t="str"/>
      <x:c r="O473" s="33" t="str"/>
      <x:c r="P473" s="33" t="str">
        <x:v>+224626865531</x:v>
      </x:c>
      <x:c r="Q473" s="33" t="str"/>
      <x:c r="R473" s="33" t="str"/>
      <x:c r="S473" s="33" t="str"/>
      <x:c r="T473" s="35" t="n">
        <x:v>9.6213846</x:v>
      </x:c>
      <x:c r="U473" s="35" t="n">
        <x:v>-13.586123</x:v>
      </x:c>
      <x:c r="V473" s="33" t="str">
        <x:v>https://www.openstreetmap.org/node/5651382904</x:v>
      </x:c>
      <x:c r="W473" s="33" t="str">
        <x:v>node/5651382904</x:v>
      </x:c>
      <x:c r="X473" s="33" t="str">
        <x:v>review_required</x:v>
      </x:c>
      <x:c r="Y473" s="33" t="str">
        <x:v>pharmacie morcire|conakry a verifier</x:v>
      </x:c>
      <x:c r="Z473" s="33" t="str">
        <x:v>224626865531</x:v>
      </x:c>
      <x:c r="AA473" s="33" t="str"/>
    </x:row>
    <x:row r="474">
      <x:c r="A474" s="30" t="str">
        <x:v>À vérifier</x:v>
      </x:c>
      <x:c r="B474" s="30" t="str"/>
      <x:c r="C474" s="31"/>
      <x:c r="D474" s="30" t="str">
        <x:v>Non vérifié</x:v>
      </x:c>
      <x:c r="E474" s="30" t="str"/>
      <x:c r="F474" s="30" t="str"/>
      <x:c r="G474" s="32" t="str"/>
      <x:c r="H474" s="33" t="str">
        <x:f>IF(I474&lt;&gt;"","Doublon possible","")</x:f>
      </x:c>
      <x:c r="I474" s="33" t="str">
        <x:f>IF(COUNTIFS($Y$9:$Y$678,Y474)&gt;1,"Nom + ville",IF(AND(Z474&lt;&gt;"",COUNTIFS($Z$9:$Z$678,Z474)&gt;1),"Téléphone",IF(AND(AA474&lt;&gt;"",COUNTIFS($AA$9:$AA$678,AA474)&gt;1),"Site web","")))</x:f>
      </x:c>
      <x:c r="J474" s="33" t="str">
        <x:v>Pharmacie Mouctar</x:v>
      </x:c>
      <x:c r="K474" s="33" t="str">
        <x:v>Santé</x:v>
      </x:c>
      <x:c r="L474" s="33" t="str">
        <x:v>Pharmacies</x:v>
      </x:c>
      <x:c r="M474" s="33" t="str">
        <x:v>Conakry (à vérifier)</x:v>
      </x:c>
      <x:c r="N474" s="33" t="str"/>
      <x:c r="O474" s="33" t="str"/>
      <x:c r="P474" s="33" t="str">
        <x:v>+224628031159</x:v>
      </x:c>
      <x:c r="Q474" s="33" t="str"/>
      <x:c r="R474" s="33" t="str"/>
      <x:c r="S474" s="33" t="str"/>
      <x:c r="T474" s="35" t="n">
        <x:v>9.5916627</x:v>
      </x:c>
      <x:c r="U474" s="35" t="n">
        <x:v>-13.6255251</x:v>
      </x:c>
      <x:c r="V474" s="33" t="str">
        <x:v>https://www.openstreetmap.org/node/5359033201</x:v>
      </x:c>
      <x:c r="W474" s="33" t="str">
        <x:v>node/5359033201</x:v>
      </x:c>
      <x:c r="X474" s="33" t="str">
        <x:v>review_required</x:v>
      </x:c>
      <x:c r="Y474" s="33" t="str">
        <x:v>pharmacie mouctar|conakry a verifier</x:v>
      </x:c>
      <x:c r="Z474" s="33" t="str">
        <x:v>224628031159</x:v>
      </x:c>
      <x:c r="AA474" s="33" t="str"/>
    </x:row>
    <x:row r="475">
      <x:c r="A475" s="30" t="str">
        <x:v>À vérifier</x:v>
      </x:c>
      <x:c r="B475" s="30" t="str"/>
      <x:c r="C475" s="31"/>
      <x:c r="D475" s="30" t="str">
        <x:v>Non vérifié</x:v>
      </x:c>
      <x:c r="E475" s="30" t="str"/>
      <x:c r="F475" s="30" t="str"/>
      <x:c r="G475" s="32" t="str"/>
      <x:c r="H475" s="33" t="str">
        <x:f>IF(I475&lt;&gt;"","Doublon possible","")</x:f>
      </x:c>
      <x:c r="I475" s="33" t="str">
        <x:f>IF(COUNTIFS($Y$9:$Y$678,Y475)&gt;1,"Nom + ville",IF(AND(Z475&lt;&gt;"",COUNTIFS($Z$9:$Z$678,Z475)&gt;1),"Téléphone",IF(AND(AA475&lt;&gt;"",COUNTIFS($AA$9:$AA$678,AA475)&gt;1),"Site web","")))</x:f>
      </x:c>
      <x:c r="J475" s="33" t="str">
        <x:v>pharmacie moussoukoro</x:v>
      </x:c>
      <x:c r="K475" s="33" t="str">
        <x:v>Santé</x:v>
      </x:c>
      <x:c r="L475" s="33" t="str">
        <x:v>Pharmacies</x:v>
      </x:c>
      <x:c r="M475" s="33" t="str">
        <x:v>Conakry (à vérifier)</x:v>
      </x:c>
      <x:c r="N475" s="33" t="str"/>
      <x:c r="O475" s="33" t="str"/>
      <x:c r="P475" s="33" t="str">
        <x:v>+224657348573</x:v>
      </x:c>
      <x:c r="Q475" s="33" t="str"/>
      <x:c r="R475" s="33" t="str"/>
      <x:c r="S475" s="33" t="str"/>
      <x:c r="T475" s="35" t="n">
        <x:v>9.5902992</x:v>
      </x:c>
      <x:c r="U475" s="35" t="n">
        <x:v>-13.656082</x:v>
      </x:c>
      <x:c r="V475" s="33" t="str">
        <x:v>https://www.openstreetmap.org/node/5528602845</x:v>
      </x:c>
      <x:c r="W475" s="33" t="str">
        <x:v>node/5528602845</x:v>
      </x:c>
      <x:c r="X475" s="33" t="str">
        <x:v>review_required</x:v>
      </x:c>
      <x:c r="Y475" s="33" t="str">
        <x:v>pharmacie moussoukoro|conakry a verifier</x:v>
      </x:c>
      <x:c r="Z475" s="33" t="str">
        <x:v>224657348573</x:v>
      </x:c>
      <x:c r="AA475" s="33" t="str"/>
    </x:row>
    <x:row r="476">
      <x:c r="A476" s="30" t="str">
        <x:v>À vérifier</x:v>
      </x:c>
      <x:c r="B476" s="30" t="str"/>
      <x:c r="C476" s="31"/>
      <x:c r="D476" s="30" t="str">
        <x:v>Non vérifié</x:v>
      </x:c>
      <x:c r="E476" s="30" t="str"/>
      <x:c r="F476" s="30" t="str"/>
      <x:c r="G476" s="32" t="str"/>
      <x:c r="H476" s="33" t="str">
        <x:f>IF(I476&lt;&gt;"","Doublon possible","")</x:f>
      </x:c>
      <x:c r="I476" s="33" t="str">
        <x:f>IF(COUNTIFS($Y$9:$Y$678,Y476)&gt;1,"Nom + ville",IF(AND(Z476&lt;&gt;"",COUNTIFS($Z$9:$Z$678,Z476)&gt;1),"Téléphone",IF(AND(AA476&lt;&gt;"",COUNTIFS($AA$9:$AA$678,AA476)&gt;1),"Site web","")))</x:f>
      </x:c>
      <x:c r="J476" s="33" t="str">
        <x:v>Pharmacie Myriam</x:v>
      </x:c>
      <x:c r="K476" s="33" t="str">
        <x:v>Santé</x:v>
      </x:c>
      <x:c r="L476" s="33" t="str">
        <x:v>Pharmacies</x:v>
      </x:c>
      <x:c r="M476" s="33" t="str">
        <x:v>Conakry (à vérifier)</x:v>
      </x:c>
      <x:c r="N476" s="33" t="str"/>
      <x:c r="O476" s="33" t="str"/>
      <x:c r="P476" s="33" t="str">
        <x:v>627027800</x:v>
      </x:c>
      <x:c r="Q476" s="33" t="str"/>
      <x:c r="R476" s="33" t="str"/>
      <x:c r="S476" s="33" t="str"/>
      <x:c r="T476" s="35" t="n">
        <x:v>9.6028778</x:v>
      </x:c>
      <x:c r="U476" s="35" t="n">
        <x:v>-13.652104</x:v>
      </x:c>
      <x:c r="V476" s="33" t="str">
        <x:v>https://www.openstreetmap.org/node/6919113139</x:v>
      </x:c>
      <x:c r="W476" s="33" t="str">
        <x:v>node/6919113139</x:v>
      </x:c>
      <x:c r="X476" s="33" t="str">
        <x:v>review_required</x:v>
      </x:c>
      <x:c r="Y476" s="33" t="str">
        <x:v>pharmacie myriam|conakry a verifier</x:v>
      </x:c>
      <x:c r="Z476" s="33" t="str">
        <x:v>224627027800</x:v>
      </x:c>
      <x:c r="AA476" s="33" t="str"/>
    </x:row>
    <x:row r="477">
      <x:c r="A477" s="30" t="str">
        <x:v>À vérifier</x:v>
      </x:c>
      <x:c r="B477" s="30" t="str"/>
      <x:c r="C477" s="31"/>
      <x:c r="D477" s="30" t="str">
        <x:v>Non vérifié</x:v>
      </x:c>
      <x:c r="E477" s="30" t="str"/>
      <x:c r="F477" s="30" t="str"/>
      <x:c r="G477" s="32" t="str"/>
      <x:c r="H477" s="33" t="str">
        <x:f>IF(I477&lt;&gt;"","Doublon possible","")</x:f>
      </x:c>
      <x:c r="I477" s="33" t="str">
        <x:f>IF(COUNTIFS($Y$9:$Y$678,Y477)&gt;1,"Nom + ville",IF(AND(Z477&lt;&gt;"",COUNTIFS($Z$9:$Z$678,Z477)&gt;1),"Téléphone",IF(AND(AA477&lt;&gt;"",COUNTIFS($AA$9:$AA$678,AA477)&gt;1),"Site web","")))</x:f>
      </x:c>
      <x:c r="J477" s="33" t="str">
        <x:v>Pharmacie N'Dara</x:v>
      </x:c>
      <x:c r="K477" s="33" t="str">
        <x:v>Santé</x:v>
      </x:c>
      <x:c r="L477" s="33" t="str">
        <x:v>Pharmacies</x:v>
      </x:c>
      <x:c r="M477" s="33" t="str">
        <x:v>Conakry (à vérifier)</x:v>
      </x:c>
      <x:c r="N477" s="33" t="str"/>
      <x:c r="O477" s="33" t="str"/>
      <x:c r="P477" s="33" t="str">
        <x:v>622379649</x:v>
      </x:c>
      <x:c r="Q477" s="33" t="str">
        <x:v>pharmaciendara@gmail.com</x:v>
      </x:c>
      <x:c r="R477" s="33" t="str"/>
      <x:c r="S477" s="33" t="str"/>
      <x:c r="T477" s="35" t="n">
        <x:v>9.5775201</x:v>
      </x:c>
      <x:c r="U477" s="35" t="n">
        <x:v>-13.6637772</x:v>
      </x:c>
      <x:c r="V477" s="33" t="str">
        <x:v>https://www.openstreetmap.org/node/5550524769</x:v>
      </x:c>
      <x:c r="W477" s="33" t="str">
        <x:v>node/5550524769</x:v>
      </x:c>
      <x:c r="X477" s="33" t="str">
        <x:v>review_required</x:v>
      </x:c>
      <x:c r="Y477" s="33" t="str">
        <x:v>pharmacie n dara|conakry a verifier</x:v>
      </x:c>
      <x:c r="Z477" s="33" t="str">
        <x:v>224622379649</x:v>
      </x:c>
      <x:c r="AA477" s="33" t="str"/>
    </x:row>
    <x:row r="478">
      <x:c r="A478" s="30" t="str">
        <x:v>À vérifier</x:v>
      </x:c>
      <x:c r="B478" s="30" t="str"/>
      <x:c r="C478" s="31"/>
      <x:c r="D478" s="30" t="str">
        <x:v>Non vérifié</x:v>
      </x:c>
      <x:c r="E478" s="30" t="str"/>
      <x:c r="F478" s="30" t="str"/>
      <x:c r="G478" s="32" t="str"/>
      <x:c r="H478" s="33" t="str">
        <x:f>IF(I478&lt;&gt;"","Doublon possible","")</x:f>
      </x:c>
      <x:c r="I478" s="33" t="str">
        <x:f>IF(COUNTIFS($Y$9:$Y$678,Y478)&gt;1,"Nom + ville",IF(AND(Z478&lt;&gt;"",COUNTIFS($Z$9:$Z$678,Z478)&gt;1),"Téléphone",IF(AND(AA478&lt;&gt;"",COUNTIFS($AA$9:$AA$678,AA478)&gt;1),"Site web","")))</x:f>
      </x:c>
      <x:c r="J478" s="33" t="str">
        <x:v>Pharmacie Naby Bakoro</x:v>
      </x:c>
      <x:c r="K478" s="33" t="str">
        <x:v>Santé</x:v>
      </x:c>
      <x:c r="L478" s="33" t="str">
        <x:v>Pharmacies</x:v>
      </x:c>
      <x:c r="M478" s="33" t="str">
        <x:v>Conakry (à vérifier)</x:v>
      </x:c>
      <x:c r="N478" s="33" t="str"/>
      <x:c r="O478" s="33" t="str"/>
      <x:c r="P478" s="33" t="str">
        <x:v>+224664753265</x:v>
      </x:c>
      <x:c r="Q478" s="33" t="str">
        <x:v>mariamemalick@gmail.com</x:v>
      </x:c>
      <x:c r="R478" s="33" t="str"/>
      <x:c r="S478" s="33" t="str"/>
      <x:c r="T478" s="35" t="n">
        <x:v>9.5570211</x:v>
      </x:c>
      <x:c r="U478" s="35" t="n">
        <x:v>-13.6440453</x:v>
      </x:c>
      <x:c r="V478" s="33" t="str">
        <x:v>https://www.openstreetmap.org/node/5494060391</x:v>
      </x:c>
      <x:c r="W478" s="33" t="str">
        <x:v>node/5494060391</x:v>
      </x:c>
      <x:c r="X478" s="33" t="str">
        <x:v>review_required</x:v>
      </x:c>
      <x:c r="Y478" s="33" t="str">
        <x:v>pharmacie naby bakoro|conakry a verifier</x:v>
      </x:c>
      <x:c r="Z478" s="33" t="str">
        <x:v>224664753265</x:v>
      </x:c>
      <x:c r="AA478" s="33" t="str"/>
    </x:row>
    <x:row r="479">
      <x:c r="A479" s="30" t="str">
        <x:v>À vérifier</x:v>
      </x:c>
      <x:c r="B479" s="30" t="str"/>
      <x:c r="C479" s="31"/>
      <x:c r="D479" s="30" t="str">
        <x:v>Non vérifié</x:v>
      </x:c>
      <x:c r="E479" s="30" t="str"/>
      <x:c r="F479" s="30" t="str"/>
      <x:c r="G479" s="32" t="str"/>
      <x:c r="H479" s="33" t="str">
        <x:f>IF(I479&lt;&gt;"","Doublon possible","")</x:f>
      </x:c>
      <x:c r="I479" s="33" t="str">
        <x:f>IF(COUNTIFS($Y$9:$Y$678,Y479)&gt;1,"Nom + ville",IF(AND(Z479&lt;&gt;"",COUNTIFS($Z$9:$Z$678,Z479)&gt;1),"Téléphone",IF(AND(AA479&lt;&gt;"",COUNTIFS($AA$9:$AA$678,AA479)&gt;1),"Site web","")))</x:f>
      </x:c>
      <x:c r="J479" s="33" t="str">
        <x:v>Pharmacie Nadalo</x:v>
      </x:c>
      <x:c r="K479" s="33" t="str">
        <x:v>Santé</x:v>
      </x:c>
      <x:c r="L479" s="33" t="str">
        <x:v>Pharmacies</x:v>
      </x:c>
      <x:c r="M479" s="33" t="str">
        <x:v>Conakry (à vérifier)</x:v>
      </x:c>
      <x:c r="N479" s="33" t="str"/>
      <x:c r="O479" s="33" t="str"/>
      <x:c r="P479" s="33" t="str">
        <x:v>+224622987081</x:v>
      </x:c>
      <x:c r="Q479" s="33" t="str"/>
      <x:c r="R479" s="33" t="str"/>
      <x:c r="S479" s="33" t="str"/>
      <x:c r="T479" s="35" t="n">
        <x:v>9.6431551</x:v>
      </x:c>
      <x:c r="U479" s="35" t="n">
        <x:v>-13.5627039</x:v>
      </x:c>
      <x:c r="V479" s="33" t="str">
        <x:v>https://www.openstreetmap.org/node/5821766785</x:v>
      </x:c>
      <x:c r="W479" s="33" t="str">
        <x:v>node/5821766785</x:v>
      </x:c>
      <x:c r="X479" s="33" t="str">
        <x:v>review_required</x:v>
      </x:c>
      <x:c r="Y479" s="33" t="str">
        <x:v>pharmacie nadalo|conakry a verifier</x:v>
      </x:c>
      <x:c r="Z479" s="33" t="str">
        <x:v>224622987081</x:v>
      </x:c>
      <x:c r="AA479" s="33" t="str"/>
    </x:row>
    <x:row r="480">
      <x:c r="A480" s="30" t="str">
        <x:v>À vérifier</x:v>
      </x:c>
      <x:c r="B480" s="30" t="str"/>
      <x:c r="C480" s="31"/>
      <x:c r="D480" s="30" t="str">
        <x:v>Non vérifié</x:v>
      </x:c>
      <x:c r="E480" s="30" t="str"/>
      <x:c r="F480" s="30" t="str"/>
      <x:c r="G480" s="32" t="str"/>
      <x:c r="H480" s="33" t="str">
        <x:f>IF(I480&lt;&gt;"","Doublon possible","")</x:f>
      </x:c>
      <x:c r="I480" s="33" t="str">
        <x:f>IF(COUNTIFS($Y$9:$Y$678,Y480)&gt;1,"Nom + ville",IF(AND(Z480&lt;&gt;"",COUNTIFS($Z$9:$Z$678,Z480)&gt;1),"Téléphone",IF(AND(AA480&lt;&gt;"",COUNTIFS($AA$9:$AA$678,AA480)&gt;1),"Site web","")))</x:f>
      </x:c>
      <x:c r="J480" s="33" t="str">
        <x:v>Pharmacie Nafy</x:v>
      </x:c>
      <x:c r="K480" s="33" t="str">
        <x:v>Santé</x:v>
      </x:c>
      <x:c r="L480" s="33" t="str">
        <x:v>Pharmacies</x:v>
      </x:c>
      <x:c r="M480" s="33" t="str">
        <x:v>Conakry (à vérifier)</x:v>
      </x:c>
      <x:c r="N480" s="33" t="str"/>
      <x:c r="O480" s="33" t="str"/>
      <x:c r="P480" s="33" t="str">
        <x:v>622131328</x:v>
      </x:c>
      <x:c r="Q480" s="33" t="str"/>
      <x:c r="R480" s="33" t="str"/>
      <x:c r="S480" s="33" t="str"/>
      <x:c r="T480" s="35" t="n">
        <x:v>9.5713498</x:v>
      </x:c>
      <x:c r="U480" s="35" t="n">
        <x:v>-13.6574835</x:v>
      </x:c>
      <x:c r="V480" s="33" t="str">
        <x:v>https://www.openstreetmap.org/node/6179201323</x:v>
      </x:c>
      <x:c r="W480" s="33" t="str">
        <x:v>node/6179201323</x:v>
      </x:c>
      <x:c r="X480" s="33" t="str">
        <x:v>review_required</x:v>
      </x:c>
      <x:c r="Y480" s="33" t="str">
        <x:v>pharmacie nafy|conakry a verifier</x:v>
      </x:c>
      <x:c r="Z480" s="33" t="str">
        <x:v>224622131328</x:v>
      </x:c>
      <x:c r="AA480" s="33" t="str"/>
    </x:row>
    <x:row r="481">
      <x:c r="A481" s="30" t="str">
        <x:v>À vérifier</x:v>
      </x:c>
      <x:c r="B481" s="30" t="str"/>
      <x:c r="C481" s="31"/>
      <x:c r="D481" s="30" t="str">
        <x:v>Non vérifié</x:v>
      </x:c>
      <x:c r="E481" s="30" t="str"/>
      <x:c r="F481" s="30" t="str"/>
      <x:c r="G481" s="32" t="str"/>
      <x:c r="H481" s="33" t="str">
        <x:f>IF(I481&lt;&gt;"","Doublon possible","")</x:f>
      </x:c>
      <x:c r="I481" s="33" t="str">
        <x:f>IF(COUNTIFS($Y$9:$Y$678,Y481)&gt;1,"Nom + ville",IF(AND(Z481&lt;&gt;"",COUNTIFS($Z$9:$Z$678,Z481)&gt;1),"Téléphone",IF(AND(AA481&lt;&gt;"",COUNTIFS($AA$9:$AA$678,AA481)&gt;1),"Site web","")))</x:f>
      </x:c>
      <x:c r="J481" s="33" t="str">
        <x:v>Pharmacie Nagnalen</x:v>
      </x:c>
      <x:c r="K481" s="33" t="str">
        <x:v>Santé</x:v>
      </x:c>
      <x:c r="L481" s="33" t="str">
        <x:v>Pharmacies</x:v>
      </x:c>
      <x:c r="M481" s="33" t="str">
        <x:v>Coyah</x:v>
      </x:c>
      <x:c r="N481" s="33" t="str"/>
      <x:c r="O481" s="33" t="str"/>
      <x:c r="P481" s="33" t="str">
        <x:v>622625862</x:v>
      </x:c>
      <x:c r="Q481" s="33" t="str"/>
      <x:c r="R481" s="33" t="str"/>
      <x:c r="S481" s="33" t="str"/>
      <x:c r="T481" s="35" t="n">
        <x:v>9.7186226</x:v>
      </x:c>
      <x:c r="U481" s="35" t="n">
        <x:v>-13.482655</x:v>
      </x:c>
      <x:c r="V481" s="33" t="str">
        <x:v>https://www.openstreetmap.org/node/8152194494</x:v>
      </x:c>
      <x:c r="W481" s="33" t="str">
        <x:v>node/8152194494</x:v>
      </x:c>
      <x:c r="X481" s="33" t="str">
        <x:v>review_required</x:v>
      </x:c>
      <x:c r="Y481" s="33" t="str">
        <x:v>pharmacie nagnalen|coyah</x:v>
      </x:c>
      <x:c r="Z481" s="33" t="str">
        <x:v>224622625862</x:v>
      </x:c>
      <x:c r="AA481" s="33" t="str"/>
    </x:row>
    <x:row r="482">
      <x:c r="A482" s="30" t="str">
        <x:v>À vérifier</x:v>
      </x:c>
      <x:c r="B482" s="30" t="str"/>
      <x:c r="C482" s="31"/>
      <x:c r="D482" s="30" t="str">
        <x:v>Non vérifié</x:v>
      </x:c>
      <x:c r="E482" s="30" t="str"/>
      <x:c r="F482" s="30" t="str"/>
      <x:c r="G482" s="32" t="str"/>
      <x:c r="H482" s="33" t="str">
        <x:f>IF(I482&lt;&gt;"","Doublon possible","")</x:f>
      </x:c>
      <x:c r="I482" s="33" t="str">
        <x:f>IF(COUNTIFS($Y$9:$Y$678,Y482)&gt;1,"Nom + ville",IF(AND(Z482&lt;&gt;"",COUNTIFS($Z$9:$Z$678,Z482)&gt;1),"Téléphone",IF(AND(AA482&lt;&gt;"",COUNTIFS($AA$9:$AA$678,AA482)&gt;1),"Site web","")))</x:f>
      </x:c>
      <x:c r="J482" s="33" t="str">
        <x:v>Pharmacie Nicolas</x:v>
      </x:c>
      <x:c r="K482" s="33" t="str">
        <x:v>Santé</x:v>
      </x:c>
      <x:c r="L482" s="33" t="str">
        <x:v>Pharmacies</x:v>
      </x:c>
      <x:c r="M482" s="33" t="str">
        <x:v>Conakry (à vérifier)</x:v>
      </x:c>
      <x:c r="N482" s="33" t="str"/>
      <x:c r="O482" s="33" t="str"/>
      <x:c r="P482" s="33" t="str">
        <x:v>+224620005003</x:v>
      </x:c>
      <x:c r="Q482" s="33" t="str">
        <x:v>pharmacienicolasannie@gmail.com</x:v>
      </x:c>
      <x:c r="R482" s="33" t="str"/>
      <x:c r="S482" s="33" t="str"/>
      <x:c r="T482" s="35" t="n">
        <x:v>9.6250934</x:v>
      </x:c>
      <x:c r="U482" s="35" t="n">
        <x:v>-13.6345321</x:v>
      </x:c>
      <x:c r="V482" s="33" t="str">
        <x:v>https://www.openstreetmap.org/node/5697184338</x:v>
      </x:c>
      <x:c r="W482" s="33" t="str">
        <x:v>node/5697184338</x:v>
      </x:c>
      <x:c r="X482" s="33" t="str">
        <x:v>review_required</x:v>
      </x:c>
      <x:c r="Y482" s="33" t="str">
        <x:v>pharmacie nicolas|conakry a verifier</x:v>
      </x:c>
      <x:c r="Z482" s="33" t="str">
        <x:v>224620005003</x:v>
      </x:c>
      <x:c r="AA482" s="33" t="str"/>
    </x:row>
    <x:row r="483">
      <x:c r="A483" s="30" t="str">
        <x:v>À vérifier</x:v>
      </x:c>
      <x:c r="B483" s="30" t="str"/>
      <x:c r="C483" s="31"/>
      <x:c r="D483" s="30" t="str">
        <x:v>Non vérifié</x:v>
      </x:c>
      <x:c r="E483" s="30" t="str"/>
      <x:c r="F483" s="30" t="str"/>
      <x:c r="G483" s="32" t="str"/>
      <x:c r="H483" s="33" t="str">
        <x:f>IF(I483&lt;&gt;"","Doublon possible","")</x:f>
      </x:c>
      <x:c r="I483" s="33" t="str">
        <x:f>IF(COUNTIFS($Y$9:$Y$678,Y483)&gt;1,"Nom + ville",IF(AND(Z483&lt;&gt;"",COUNTIFS($Z$9:$Z$678,Z483)&gt;1),"Téléphone",IF(AND(AA483&lt;&gt;"",COUNTIFS($AA$9:$AA$678,AA483)&gt;1),"Site web","")))</x:f>
      </x:c>
      <x:c r="J483" s="33" t="str">
        <x:v>Pharmacie Notre Dame</x:v>
      </x:c>
      <x:c r="K483" s="33" t="str">
        <x:v>Santé</x:v>
      </x:c>
      <x:c r="L483" s="33" t="str">
        <x:v>Pharmacies</x:v>
      </x:c>
      <x:c r="M483" s="33" t="str">
        <x:v>Conakry (à vérifier)</x:v>
      </x:c>
      <x:c r="N483" s="33" t="str"/>
      <x:c r="O483" s="33" t="str"/>
      <x:c r="P483" s="33" t="str">
        <x:v>+224621568122</x:v>
      </x:c>
      <x:c r="Q483" s="33" t="str"/>
      <x:c r="R483" s="33" t="str"/>
      <x:c r="S483" s="33" t="str"/>
      <x:c r="T483" s="35" t="n">
        <x:v>9.5389954</x:v>
      </x:c>
      <x:c r="U483" s="35" t="n">
        <x:v>-13.6735677</x:v>
      </x:c>
      <x:c r="V483" s="33" t="str">
        <x:v>https://www.openstreetmap.org/node/5739446693</x:v>
      </x:c>
      <x:c r="W483" s="33" t="str">
        <x:v>node/5739446693</x:v>
      </x:c>
      <x:c r="X483" s="33" t="str">
        <x:v>review_required</x:v>
      </x:c>
      <x:c r="Y483" s="33" t="str">
        <x:v>pharmacie notre dame|conakry a verifier</x:v>
      </x:c>
      <x:c r="Z483" s="33" t="str">
        <x:v>224621568122</x:v>
      </x:c>
      <x:c r="AA483" s="33" t="str"/>
    </x:row>
    <x:row r="484">
      <x:c r="A484" s="30" t="str">
        <x:v>À vérifier</x:v>
      </x:c>
      <x:c r="B484" s="30" t="str"/>
      <x:c r="C484" s="31"/>
      <x:c r="D484" s="30" t="str">
        <x:v>Non vérifié</x:v>
      </x:c>
      <x:c r="E484" s="30" t="str"/>
      <x:c r="F484" s="30" t="str"/>
      <x:c r="G484" s="32" t="str"/>
      <x:c r="H484" s="33" t="str">
        <x:f>IF(I484&lt;&gt;"","Doublon possible","")</x:f>
      </x:c>
      <x:c r="I484" s="33" t="str">
        <x:f>IF(COUNTIFS($Y$9:$Y$678,Y484)&gt;1,"Nom + ville",IF(AND(Z484&lt;&gt;"",COUNTIFS($Z$9:$Z$678,Z484)&gt;1),"Téléphone",IF(AND(AA484&lt;&gt;"",COUNTIFS($AA$9:$AA$678,AA484)&gt;1),"Site web","")))</x:f>
      </x:c>
      <x:c r="J484" s="33" t="str">
        <x:v>Pharmacie Nouni</x:v>
      </x:c>
      <x:c r="K484" s="33" t="str">
        <x:v>Santé</x:v>
      </x:c>
      <x:c r="L484" s="33" t="str">
        <x:v>Pharmacies</x:v>
      </x:c>
      <x:c r="M484" s="33" t="str">
        <x:v>Conakry (à vérifier)</x:v>
      </x:c>
      <x:c r="N484" s="33" t="str"/>
      <x:c r="O484" s="33" t="str"/>
      <x:c r="P484" s="33" t="str">
        <x:v>+224622491049</x:v>
      </x:c>
      <x:c r="Q484" s="33" t="str"/>
      <x:c r="R484" s="33" t="str"/>
      <x:c r="S484" s="33" t="str"/>
      <x:c r="T484" s="35" t="n">
        <x:v>9.5984974</x:v>
      </x:c>
      <x:c r="U484" s="35" t="n">
        <x:v>-13.6533664</x:v>
      </x:c>
      <x:c r="V484" s="33" t="str">
        <x:v>https://www.openstreetmap.org/node/4353748541</x:v>
      </x:c>
      <x:c r="W484" s="33" t="str">
        <x:v>node/4353748541</x:v>
      </x:c>
      <x:c r="X484" s="33" t="str">
        <x:v>review_required</x:v>
      </x:c>
      <x:c r="Y484" s="33" t="str">
        <x:v>pharmacie nouni|conakry a verifier</x:v>
      </x:c>
      <x:c r="Z484" s="33" t="str">
        <x:v>224622491049</x:v>
      </x:c>
      <x:c r="AA484" s="33" t="str"/>
    </x:row>
    <x:row r="485">
      <x:c r="A485" s="30" t="str">
        <x:v>À vérifier</x:v>
      </x:c>
      <x:c r="B485" s="30" t="str"/>
      <x:c r="C485" s="31"/>
      <x:c r="D485" s="30" t="str">
        <x:v>Non vérifié</x:v>
      </x:c>
      <x:c r="E485" s="30" t="str"/>
      <x:c r="F485" s="30" t="str"/>
      <x:c r="G485" s="32" t="str"/>
      <x:c r="H485" s="33" t="str">
        <x:f>IF(I485&lt;&gt;"","Doublon possible","")</x:f>
      </x:c>
      <x:c r="I485" s="33" t="str">
        <x:f>IF(COUNTIFS($Y$9:$Y$678,Y485)&gt;1,"Nom + ville",IF(AND(Z485&lt;&gt;"",COUNTIFS($Z$9:$Z$678,Z485)&gt;1),"Téléphone",IF(AND(AA485&lt;&gt;"",COUNTIFS($AA$9:$AA$678,AA485)&gt;1),"Site web","")))</x:f>
      </x:c>
      <x:c r="J485" s="33" t="str">
        <x:v>Pharmacie Nounkoun</x:v>
      </x:c>
      <x:c r="K485" s="33" t="str">
        <x:v>Santé</x:v>
      </x:c>
      <x:c r="L485" s="33" t="str">
        <x:v>Pharmacies</x:v>
      </x:c>
      <x:c r="M485" s="33" t="str">
        <x:v>Conakry (à vérifier)</x:v>
      </x:c>
      <x:c r="N485" s="33" t="str"/>
      <x:c r="O485" s="33" t="str"/>
      <x:c r="P485" s="33" t="str">
        <x:v>+224627272545</x:v>
      </x:c>
      <x:c r="Q485" s="33" t="str"/>
      <x:c r="R485" s="33" t="str"/>
      <x:c r="S485" s="33" t="str"/>
      <x:c r="T485" s="35" t="n">
        <x:v>9.6507291</x:v>
      </x:c>
      <x:c r="U485" s="35" t="n">
        <x:v>-13.5509069</x:v>
      </x:c>
      <x:c r="V485" s="33" t="str">
        <x:v>https://www.openstreetmap.org/node/5994147917</x:v>
      </x:c>
      <x:c r="W485" s="33" t="str">
        <x:v>node/5994147917</x:v>
      </x:c>
      <x:c r="X485" s="33" t="str">
        <x:v>review_required</x:v>
      </x:c>
      <x:c r="Y485" s="33" t="str">
        <x:v>pharmacie nounkoun|conakry a verifier</x:v>
      </x:c>
      <x:c r="Z485" s="33" t="str">
        <x:v>224627272545</x:v>
      </x:c>
      <x:c r="AA485" s="33" t="str"/>
    </x:row>
    <x:row r="486">
      <x:c r="A486" s="30" t="str">
        <x:v>À vérifier</x:v>
      </x:c>
      <x:c r="B486" s="30" t="str"/>
      <x:c r="C486" s="31"/>
      <x:c r="D486" s="30" t="str">
        <x:v>Non vérifié</x:v>
      </x:c>
      <x:c r="E486" s="30" t="str"/>
      <x:c r="F486" s="30" t="str"/>
      <x:c r="G486" s="32" t="str"/>
      <x:c r="H486" s="33" t="str">
        <x:f>IF(I486&lt;&gt;"","Doublon possible","")</x:f>
      </x:c>
      <x:c r="I486" s="33" t="str">
        <x:f>IF(COUNTIFS($Y$9:$Y$678,Y486)&gt;1,"Nom + ville",IF(AND(Z486&lt;&gt;"",COUNTIFS($Z$9:$Z$678,Z486)&gt;1),"Téléphone",IF(AND(AA486&lt;&gt;"",COUNTIFS($AA$9:$AA$678,AA486)&gt;1),"Site web","")))</x:f>
      </x:c>
      <x:c r="J486" s="33" t="str">
        <x:v>Pharmacie Nouvelle de Sankoumbaya</x:v>
      </x:c>
      <x:c r="K486" s="33" t="str">
        <x:v>Santé</x:v>
      </x:c>
      <x:c r="L486" s="33" t="str">
        <x:v>Pharmacies</x:v>
      </x:c>
      <x:c r="M486" s="33" t="str">
        <x:v>Conakry (à vérifier)</x:v>
      </x:c>
      <x:c r="N486" s="33" t="str"/>
      <x:c r="O486" s="33" t="str"/>
      <x:c r="P486" s="33" t="str">
        <x:v>629797640</x:v>
      </x:c>
      <x:c r="Q486" s="33" t="str"/>
      <x:c r="R486" s="33" t="str"/>
      <x:c r="S486" s="33" t="str"/>
      <x:c r="T486" s="35" t="n">
        <x:v>9.632343</x:v>
      </x:c>
      <x:c r="U486" s="35" t="n">
        <x:v>-13.5745842</x:v>
      </x:c>
      <x:c r="V486" s="33" t="str">
        <x:v>https://www.openstreetmap.org/node/9196497019</x:v>
      </x:c>
      <x:c r="W486" s="33" t="str">
        <x:v>node/9196497019</x:v>
      </x:c>
      <x:c r="X486" s="33" t="str">
        <x:v>review_required</x:v>
      </x:c>
      <x:c r="Y486" s="33" t="str">
        <x:v>pharmacie nouvelle de sankoumbaya|conakry a verifier</x:v>
      </x:c>
      <x:c r="Z486" s="33" t="str">
        <x:v>224629797640</x:v>
      </x:c>
      <x:c r="AA486" s="33" t="str"/>
    </x:row>
    <x:row r="487">
      <x:c r="A487" s="30" t="str">
        <x:v>À vérifier</x:v>
      </x:c>
      <x:c r="B487" s="30" t="str"/>
      <x:c r="C487" s="31"/>
      <x:c r="D487" s="30" t="str">
        <x:v>Non vérifié</x:v>
      </x:c>
      <x:c r="E487" s="30" t="str"/>
      <x:c r="F487" s="30" t="str"/>
      <x:c r="G487" s="32" t="str"/>
      <x:c r="H487" s="33" t="str">
        <x:f>IF(I487&lt;&gt;"","Doublon possible","")</x:f>
      </x:c>
      <x:c r="I487" s="33" t="str">
        <x:f>IF(COUNTIFS($Y$9:$Y$678,Y487)&gt;1,"Nom + ville",IF(AND(Z487&lt;&gt;"",COUNTIFS($Z$9:$Z$678,Z487)&gt;1),"Téléphone",IF(AND(AA487&lt;&gt;"",COUNTIFS($AA$9:$AA$678,AA487)&gt;1),"Site web","")))</x:f>
      </x:c>
      <x:c r="J487" s="33" t="str">
        <x:v>Pharmacie Oumou Koultoumy</x:v>
      </x:c>
      <x:c r="K487" s="33" t="str">
        <x:v>Santé</x:v>
      </x:c>
      <x:c r="L487" s="33" t="str">
        <x:v>Pharmacies</x:v>
      </x:c>
      <x:c r="M487" s="33" t="str">
        <x:v>Conakry (à vérifier)</x:v>
      </x:c>
      <x:c r="N487" s="33" t="str"/>
      <x:c r="O487" s="33" t="str"/>
      <x:c r="P487" s="33" t="str">
        <x:v>625703036</x:v>
      </x:c>
      <x:c r="Q487" s="33" t="str"/>
      <x:c r="R487" s="33" t="str"/>
      <x:c r="S487" s="33" t="str"/>
      <x:c r="T487" s="35" t="n">
        <x:v>9.6175589</x:v>
      </x:c>
      <x:c r="U487" s="35" t="n">
        <x:v>-13.6018475</x:v>
      </x:c>
      <x:c r="V487" s="33" t="str">
        <x:v>https://www.openstreetmap.org/node/11879507577</x:v>
      </x:c>
      <x:c r="W487" s="33" t="str">
        <x:v>node/11879507577</x:v>
      </x:c>
      <x:c r="X487" s="33" t="str">
        <x:v>review_required</x:v>
      </x:c>
      <x:c r="Y487" s="33" t="str">
        <x:v>pharmacie oumou koultoumy|conakry a verifier</x:v>
      </x:c>
      <x:c r="Z487" s="33" t="str">
        <x:v>224625703036</x:v>
      </x:c>
      <x:c r="AA487" s="33" t="str"/>
    </x:row>
    <x:row r="488">
      <x:c r="A488" s="30" t="str">
        <x:v>À vérifier</x:v>
      </x:c>
      <x:c r="B488" s="30" t="str"/>
      <x:c r="C488" s="31"/>
      <x:c r="D488" s="30" t="str">
        <x:v>Non vérifié</x:v>
      </x:c>
      <x:c r="E488" s="30" t="str"/>
      <x:c r="F488" s="30" t="str"/>
      <x:c r="G488" s="32" t="str"/>
      <x:c r="H488" s="33" t="str">
        <x:f>IF(I488&lt;&gt;"","Doublon possible","")</x:f>
        <x:v>Doublon possible</x:v>
      </x:c>
      <x:c r="I488" s="33" t="str">
        <x:f>IF(COUNTIFS($Y$9:$Y$678,Y488)&gt;1,"Nom + ville",IF(AND(Z488&lt;&gt;"",COUNTIFS($Z$9:$Z$678,Z488)&gt;1),"Téléphone",IF(AND(AA488&lt;&gt;"",COUNTIFS($AA$9:$AA$678,AA488)&gt;1),"Site web","")))</x:f>
        <x:v>Site web</x:v>
      </x:c>
      <x:c r="J488" s="33" t="str">
        <x:v>Pharmacie Papa Abdoulaye</x:v>
      </x:c>
      <x:c r="K488" s="33" t="str">
        <x:v>Santé</x:v>
      </x:c>
      <x:c r="L488" s="33" t="str">
        <x:v>Pharmacies</x:v>
      </x:c>
      <x:c r="M488" s="33" t="str">
        <x:v>Conakry (à vérifier)</x:v>
      </x:c>
      <x:c r="N488" s="33" t="str"/>
      <x:c r="O488" s="33" t="str"/>
      <x:c r="P488" s="33" t="str">
        <x:v>+224622570173</x:v>
      </x:c>
      <x:c r="Q488" s="33" t="str"/>
      <x:c r="R488" s="33" t="str">
        <x:v>diaraye29@gmail.com</x:v>
      </x:c>
      <x:c r="S488" s="33" t="str"/>
      <x:c r="T488" s="35" t="n">
        <x:v>9.6596043</x:v>
      </x:c>
      <x:c r="U488" s="35" t="n">
        <x:v>-13.5873203</x:v>
      </x:c>
      <x:c r="V488" s="33" t="str">
        <x:v>https://www.openstreetmap.org/node/7387478890</x:v>
      </x:c>
      <x:c r="W488" s="33" t="str">
        <x:v>node/7387478890</x:v>
      </x:c>
      <x:c r="X488" s="33" t="str">
        <x:v>review_required</x:v>
      </x:c>
      <x:c r="Y488" s="33" t="str">
        <x:v>pharmacie papa abdoulaye|conakry a verifier</x:v>
      </x:c>
      <x:c r="Z488" s="33" t="str">
        <x:v>224622570173</x:v>
      </x:c>
      <x:c r="AA488" s="33" t="str">
        <x:v>gmail.com</x:v>
      </x:c>
    </x:row>
    <x:row r="489">
      <x:c r="A489" s="30" t="str">
        <x:v>À vérifier</x:v>
      </x:c>
      <x:c r="B489" s="30" t="str"/>
      <x:c r="C489" s="31"/>
      <x:c r="D489" s="30" t="str">
        <x:v>Non vérifié</x:v>
      </x:c>
      <x:c r="E489" s="30" t="str"/>
      <x:c r="F489" s="30" t="str"/>
      <x:c r="G489" s="32" t="str"/>
      <x:c r="H489" s="33" t="str">
        <x:f>IF(I489&lt;&gt;"","Doublon possible","")</x:f>
      </x:c>
      <x:c r="I489" s="33" t="str">
        <x:f>IF(COUNTIFS($Y$9:$Y$678,Y489)&gt;1,"Nom + ville",IF(AND(Z489&lt;&gt;"",COUNTIFS($Z$9:$Z$678,Z489)&gt;1),"Téléphone",IF(AND(AA489&lt;&gt;"",COUNTIFS($AA$9:$AA$678,AA489)&gt;1),"Site web","")))</x:f>
      </x:c>
      <x:c r="J489" s="33" t="str">
        <x:v>Pharmacie Patience</x:v>
      </x:c>
      <x:c r="K489" s="33" t="str">
        <x:v>Santé</x:v>
      </x:c>
      <x:c r="L489" s="33" t="str">
        <x:v>Pharmacies</x:v>
      </x:c>
      <x:c r="M489" s="33" t="str">
        <x:v>Conakry (à vérifier)</x:v>
      </x:c>
      <x:c r="N489" s="33" t="str"/>
      <x:c r="O489" s="33" t="str"/>
      <x:c r="P489" s="33" t="str">
        <x:v>+224621031819</x:v>
      </x:c>
      <x:c r="Q489" s="33" t="str"/>
      <x:c r="R489" s="33" t="str"/>
      <x:c r="S489" s="33" t="str"/>
      <x:c r="T489" s="35" t="n">
        <x:v>9.5863237</x:v>
      </x:c>
      <x:c r="U489" s="35" t="n">
        <x:v>-13.6086139</x:v>
      </x:c>
      <x:c r="V489" s="33" t="str">
        <x:v>https://www.openstreetmap.org/node/5499367329</x:v>
      </x:c>
      <x:c r="W489" s="33" t="str">
        <x:v>node/5499367329</x:v>
      </x:c>
      <x:c r="X489" s="33" t="str">
        <x:v>review_required</x:v>
      </x:c>
      <x:c r="Y489" s="33" t="str">
        <x:v>pharmacie patience|conakry a verifier</x:v>
      </x:c>
      <x:c r="Z489" s="33" t="str">
        <x:v>224621031819</x:v>
      </x:c>
      <x:c r="AA489" s="33" t="str"/>
    </x:row>
    <x:row r="490">
      <x:c r="A490" s="30" t="str">
        <x:v>À vérifier</x:v>
      </x:c>
      <x:c r="B490" s="30" t="str"/>
      <x:c r="C490" s="31"/>
      <x:c r="D490" s="30" t="str">
        <x:v>Non vérifié</x:v>
      </x:c>
      <x:c r="E490" s="30" t="str"/>
      <x:c r="F490" s="30" t="str"/>
      <x:c r="G490" s="32" t="str"/>
      <x:c r="H490" s="33" t="str">
        <x:f>IF(I490&lt;&gt;"","Doublon possible","")</x:f>
      </x:c>
      <x:c r="I490" s="33" t="str">
        <x:f>IF(COUNTIFS($Y$9:$Y$678,Y490)&gt;1,"Nom + ville",IF(AND(Z490&lt;&gt;"",COUNTIFS($Z$9:$Z$678,Z490)&gt;1),"Téléphone",IF(AND(AA490&lt;&gt;"",COUNTIFS($AA$9:$AA$678,AA490)&gt;1),"Site web","")))</x:f>
      </x:c>
      <x:c r="J490" s="33" t="str">
        <x:v>Pharmacie Pharmaplus</x:v>
      </x:c>
      <x:c r="K490" s="33" t="str">
        <x:v>Santé</x:v>
      </x:c>
      <x:c r="L490" s="33" t="str">
        <x:v>Pharmacies</x:v>
      </x:c>
      <x:c r="M490" s="33" t="str">
        <x:v>Conakry (à vérifier)</x:v>
      </x:c>
      <x:c r="N490" s="33" t="str"/>
      <x:c r="O490" s="33" t="str"/>
      <x:c r="P490" s="33" t="str">
        <x:v>+224628340004</x:v>
      </x:c>
      <x:c r="Q490" s="33" t="str">
        <x:v>pharmaplusguinee@hotmail.com</x:v>
      </x:c>
      <x:c r="R490" s="33" t="str"/>
      <x:c r="S490" s="33" t="str"/>
      <x:c r="T490" s="35" t="n">
        <x:v>9.6393054</x:v>
      </x:c>
      <x:c r="U490" s="35" t="n">
        <x:v>-13.6164414</x:v>
      </x:c>
      <x:c r="V490" s="33" t="str">
        <x:v>https://www.openstreetmap.org/node/5528602837</x:v>
      </x:c>
      <x:c r="W490" s="33" t="str">
        <x:v>node/5528602837</x:v>
      </x:c>
      <x:c r="X490" s="33" t="str">
        <x:v>review_required</x:v>
      </x:c>
      <x:c r="Y490" s="33" t="str">
        <x:v>pharmacie pharmaplus|conakry a verifier</x:v>
      </x:c>
      <x:c r="Z490" s="33" t="str">
        <x:v>224628340004</x:v>
      </x:c>
      <x:c r="AA490" s="33" t="str"/>
    </x:row>
    <x:row r="491">
      <x:c r="A491" s="30" t="str">
        <x:v>À vérifier</x:v>
      </x:c>
      <x:c r="B491" s="30" t="str"/>
      <x:c r="C491" s="31"/>
      <x:c r="D491" s="30" t="str">
        <x:v>Non vérifié</x:v>
      </x:c>
      <x:c r="E491" s="30" t="str"/>
      <x:c r="F491" s="30" t="str"/>
      <x:c r="G491" s="32" t="str"/>
      <x:c r="H491" s="33" t="str">
        <x:f>IF(I491&lt;&gt;"","Doublon possible","")</x:f>
      </x:c>
      <x:c r="I491" s="33" t="str">
        <x:f>IF(COUNTIFS($Y$9:$Y$678,Y491)&gt;1,"Nom + ville",IF(AND(Z491&lt;&gt;"",COUNTIFS($Z$9:$Z$678,Z491)&gt;1),"Téléphone",IF(AND(AA491&lt;&gt;"",COUNTIFS($AA$9:$AA$678,AA491)&gt;1),"Site web","")))</x:f>
      </x:c>
      <x:c r="J491" s="33" t="str">
        <x:v>Pharmacie Phénougma</x:v>
      </x:c>
      <x:c r="K491" s="33" t="str">
        <x:v>Santé</x:v>
      </x:c>
      <x:c r="L491" s="33" t="str">
        <x:v>Pharmacies</x:v>
      </x:c>
      <x:c r="M491" s="33" t="str">
        <x:v>Conakry (à vérifier)</x:v>
      </x:c>
      <x:c r="N491" s="33" t="str"/>
      <x:c r="O491" s="33" t="str"/>
      <x:c r="P491" s="33" t="str">
        <x:v>+224623153636</x:v>
      </x:c>
      <x:c r="Q491" s="33" t="str"/>
      <x:c r="R491" s="33" t="str"/>
      <x:c r="S491" s="33" t="str"/>
      <x:c r="T491" s="35" t="n">
        <x:v>9.5735646</x:v>
      </x:c>
      <x:c r="U491" s="35" t="n">
        <x:v>-13.6564091</x:v>
      </x:c>
      <x:c r="V491" s="33" t="str">
        <x:v>https://www.openstreetmap.org/node/4432678811</x:v>
      </x:c>
      <x:c r="W491" s="33" t="str">
        <x:v>node/4432678811</x:v>
      </x:c>
      <x:c r="X491" s="33" t="str">
        <x:v>review_required</x:v>
      </x:c>
      <x:c r="Y491" s="33" t="str">
        <x:v>pharmacie phenougma|conakry a verifier</x:v>
      </x:c>
      <x:c r="Z491" s="33" t="str">
        <x:v>224623153636</x:v>
      </x:c>
      <x:c r="AA491" s="33" t="str"/>
    </x:row>
    <x:row r="492">
      <x:c r="A492" s="30" t="str">
        <x:v>À vérifier</x:v>
      </x:c>
      <x:c r="B492" s="30" t="str"/>
      <x:c r="C492" s="31"/>
      <x:c r="D492" s="30" t="str">
        <x:v>Non vérifié</x:v>
      </x:c>
      <x:c r="E492" s="30" t="str"/>
      <x:c r="F492" s="30" t="str"/>
      <x:c r="G492" s="32" t="str"/>
      <x:c r="H492" s="33" t="str">
        <x:f>IF(I492&lt;&gt;"","Doublon possible","")</x:f>
      </x:c>
      <x:c r="I492" s="33" t="str">
        <x:f>IF(COUNTIFS($Y$9:$Y$678,Y492)&gt;1,"Nom + ville",IF(AND(Z492&lt;&gt;"",COUNTIFS($Z$9:$Z$678,Z492)&gt;1),"Téléphone",IF(AND(AA492&lt;&gt;"",COUNTIFS($AA$9:$AA$678,AA492)&gt;1),"Site web","")))</x:f>
      </x:c>
      <x:c r="J492" s="33" t="str">
        <x:v>Pharmacie Picco</x:v>
      </x:c>
      <x:c r="K492" s="33" t="str">
        <x:v>Santé</x:v>
      </x:c>
      <x:c r="L492" s="33" t="str">
        <x:v>Pharmacies</x:v>
      </x:c>
      <x:c r="M492" s="33" t="str">
        <x:v>Conakry (à vérifier)</x:v>
      </x:c>
      <x:c r="N492" s="33" t="str"/>
      <x:c r="O492" s="33" t="str"/>
      <x:c r="P492" s="33" t="str">
        <x:v>622634026</x:v>
      </x:c>
      <x:c r="Q492" s="33" t="str"/>
      <x:c r="R492" s="33" t="str"/>
      <x:c r="S492" s="33" t="str"/>
      <x:c r="T492" s="35" t="n">
        <x:v>9.6066045</x:v>
      </x:c>
      <x:c r="U492" s="35" t="n">
        <x:v>-13.6116554</x:v>
      </x:c>
      <x:c r="V492" s="33" t="str">
        <x:v>https://www.openstreetmap.org/node/9938113444</x:v>
      </x:c>
      <x:c r="W492" s="33" t="str">
        <x:v>node/9938113444</x:v>
      </x:c>
      <x:c r="X492" s="33" t="str">
        <x:v>review_required</x:v>
      </x:c>
      <x:c r="Y492" s="33" t="str">
        <x:v>pharmacie picco|conakry a verifier</x:v>
      </x:c>
      <x:c r="Z492" s="33" t="str">
        <x:v>224622634026</x:v>
      </x:c>
      <x:c r="AA492" s="33" t="str"/>
    </x:row>
    <x:row r="493">
      <x:c r="A493" s="30" t="str">
        <x:v>À vérifier</x:v>
      </x:c>
      <x:c r="B493" s="30" t="str"/>
      <x:c r="C493" s="31"/>
      <x:c r="D493" s="30" t="str">
        <x:v>Non vérifié</x:v>
      </x:c>
      <x:c r="E493" s="30" t="str"/>
      <x:c r="F493" s="30" t="str"/>
      <x:c r="G493" s="32" t="str"/>
      <x:c r="H493" s="33" t="str">
        <x:f>IF(I493&lt;&gt;"","Doublon possible","")</x:f>
      </x:c>
      <x:c r="I493" s="33" t="str">
        <x:f>IF(COUNTIFS($Y$9:$Y$678,Y493)&gt;1,"Nom + ville",IF(AND(Z493&lt;&gt;"",COUNTIFS($Z$9:$Z$678,Z493)&gt;1),"Téléphone",IF(AND(AA493&lt;&gt;"",COUNTIFS($AA$9:$AA$678,AA493)&gt;1),"Site web","")))</x:f>
      </x:c>
      <x:c r="J493" s="33" t="str">
        <x:v>Pharmacie Planète</x:v>
      </x:c>
      <x:c r="K493" s="33" t="str">
        <x:v>Santé</x:v>
      </x:c>
      <x:c r="L493" s="33" t="str">
        <x:v>Pharmacies</x:v>
      </x:c>
      <x:c r="M493" s="33" t="str">
        <x:v>Conakry (à vérifier)</x:v>
      </x:c>
      <x:c r="N493" s="33" t="str"/>
      <x:c r="O493" s="33" t="str">
        <x:v>Transversale 3</x:v>
      </x:c>
      <x:c r="P493" s="33" t="str">
        <x:v>+224628609474</x:v>
      </x:c>
      <x:c r="Q493" s="33" t="str"/>
      <x:c r="R493" s="33" t="str"/>
      <x:c r="S493" s="33" t="str"/>
      <x:c r="T493" s="35" t="n">
        <x:v>9.6175367</x:v>
      </x:c>
      <x:c r="U493" s="35" t="n">
        <x:v>-13.6189433</x:v>
      </x:c>
      <x:c r="V493" s="33" t="str">
        <x:v>https://www.openstreetmap.org/node/10735749333</x:v>
      </x:c>
      <x:c r="W493" s="33" t="str">
        <x:v>node/10735749333</x:v>
      </x:c>
      <x:c r="X493" s="33" t="str">
        <x:v>review_required</x:v>
      </x:c>
      <x:c r="Y493" s="33" t="str">
        <x:v>pharmacie planete|conakry a verifier</x:v>
      </x:c>
      <x:c r="Z493" s="33" t="str">
        <x:v>224628609474</x:v>
      </x:c>
      <x:c r="AA493" s="33" t="str"/>
    </x:row>
    <x:row r="494">
      <x:c r="A494" s="30" t="str">
        <x:v>À vérifier</x:v>
      </x:c>
      <x:c r="B494" s="30" t="str"/>
      <x:c r="C494" s="31"/>
      <x:c r="D494" s="30" t="str">
        <x:v>Non vérifié</x:v>
      </x:c>
      <x:c r="E494" s="30" t="str"/>
      <x:c r="F494" s="30" t="str"/>
      <x:c r="G494" s="32" t="str"/>
      <x:c r="H494" s="33" t="str">
        <x:f>IF(I494&lt;&gt;"","Doublon possible","")</x:f>
      </x:c>
      <x:c r="I494" s="33" t="str">
        <x:f>IF(COUNTIFS($Y$9:$Y$678,Y494)&gt;1,"Nom + ville",IF(AND(Z494&lt;&gt;"",COUNTIFS($Z$9:$Z$678,Z494)&gt;1),"Téléphone",IF(AND(AA494&lt;&gt;"",COUNTIFS($AA$9:$AA$678,AA494)&gt;1),"Site web","")))</x:f>
      </x:c>
      <x:c r="J494" s="33" t="str">
        <x:v>Pharmacie Populaire</x:v>
      </x:c>
      <x:c r="K494" s="33" t="str">
        <x:v>Santé</x:v>
      </x:c>
      <x:c r="L494" s="33" t="str">
        <x:v>Pharmacies</x:v>
      </x:c>
      <x:c r="M494" s="33" t="str">
        <x:v>Conakry (à vérifier)</x:v>
      </x:c>
      <x:c r="N494" s="33" t="str"/>
      <x:c r="O494" s="33" t="str"/>
      <x:c r="P494" s="33" t="str">
        <x:v>622220844</x:v>
      </x:c>
      <x:c r="Q494" s="33" t="str"/>
      <x:c r="R494" s="33" t="str"/>
      <x:c r="S494" s="33" t="str"/>
      <x:c r="T494" s="35" t="n">
        <x:v>9.6103885</x:v>
      </x:c>
      <x:c r="U494" s="35" t="n">
        <x:v>-13.6093074</x:v>
      </x:c>
      <x:c r="V494" s="33" t="str">
        <x:v>https://www.openstreetmap.org/node/12805769466</x:v>
      </x:c>
      <x:c r="W494" s="33" t="str">
        <x:v>node/12805769466</x:v>
      </x:c>
      <x:c r="X494" s="33" t="str">
        <x:v>review_required</x:v>
      </x:c>
      <x:c r="Y494" s="33" t="str">
        <x:v>pharmacie populaire|conakry a verifier</x:v>
      </x:c>
      <x:c r="Z494" s="33" t="str">
        <x:v>224622220844</x:v>
      </x:c>
      <x:c r="AA494" s="33" t="str"/>
    </x:row>
    <x:row r="495">
      <x:c r="A495" s="30" t="str">
        <x:v>À vérifier</x:v>
      </x:c>
      <x:c r="B495" s="30" t="str"/>
      <x:c r="C495" s="31"/>
      <x:c r="D495" s="30" t="str">
        <x:v>Non vérifié</x:v>
      </x:c>
      <x:c r="E495" s="30" t="str"/>
      <x:c r="F495" s="30" t="str"/>
      <x:c r="G495" s="32" t="str"/>
      <x:c r="H495" s="33" t="str">
        <x:f>IF(I495&lt;&gt;"","Doublon possible","")</x:f>
      </x:c>
      <x:c r="I495" s="33" t="str">
        <x:f>IF(COUNTIFS($Y$9:$Y$678,Y495)&gt;1,"Nom + ville",IF(AND(Z495&lt;&gt;"",COUNTIFS($Z$9:$Z$678,Z495)&gt;1),"Téléphone",IF(AND(AA495&lt;&gt;"",COUNTIFS($AA$9:$AA$678,AA495)&gt;1),"Site web","")))</x:f>
      </x:c>
      <x:c r="J495" s="33" t="str">
        <x:v>Pharmacie Rama</x:v>
      </x:c>
      <x:c r="K495" s="33" t="str">
        <x:v>Santé</x:v>
      </x:c>
      <x:c r="L495" s="33" t="str">
        <x:v>Pharmacies</x:v>
      </x:c>
      <x:c r="M495" s="33" t="str">
        <x:v>Conakry (à vérifier)</x:v>
      </x:c>
      <x:c r="N495" s="33" t="str"/>
      <x:c r="O495" s="33" t="str"/>
      <x:c r="P495" s="33" t="str">
        <x:v>664534439</x:v>
      </x:c>
      <x:c r="Q495" s="33" t="str"/>
      <x:c r="R495" s="33" t="str"/>
      <x:c r="S495" s="33" t="str"/>
      <x:c r="T495" s="35" t="n">
        <x:v>9.6697739</x:v>
      </x:c>
      <x:c r="U495" s="35" t="n">
        <x:v>-13.5579842</x:v>
      </x:c>
      <x:c r="V495" s="33" t="str">
        <x:v>https://www.openstreetmap.org/node/5697183297</x:v>
      </x:c>
      <x:c r="W495" s="33" t="str">
        <x:v>node/5697183297</x:v>
      </x:c>
      <x:c r="X495" s="33" t="str">
        <x:v>review_required</x:v>
      </x:c>
      <x:c r="Y495" s="33" t="str">
        <x:v>pharmacie rama|conakry a verifier</x:v>
      </x:c>
      <x:c r="Z495" s="33" t="str">
        <x:v>224664534439</x:v>
      </x:c>
      <x:c r="AA495" s="33" t="str"/>
    </x:row>
    <x:row r="496">
      <x:c r="A496" s="30" t="str">
        <x:v>À vérifier</x:v>
      </x:c>
      <x:c r="B496" s="30" t="str"/>
      <x:c r="C496" s="31"/>
      <x:c r="D496" s="30" t="str">
        <x:v>Non vérifié</x:v>
      </x:c>
      <x:c r="E496" s="30" t="str"/>
      <x:c r="F496" s="30" t="str"/>
      <x:c r="G496" s="32" t="str"/>
      <x:c r="H496" s="33" t="str">
        <x:f>IF(I496&lt;&gt;"","Doublon possible","")</x:f>
      </x:c>
      <x:c r="I496" s="33" t="str">
        <x:f>IF(COUNTIFS($Y$9:$Y$678,Y496)&gt;1,"Nom + ville",IF(AND(Z496&lt;&gt;"",COUNTIFS($Z$9:$Z$678,Z496)&gt;1),"Téléphone",IF(AND(AA496&lt;&gt;"",COUNTIFS($AA$9:$AA$678,AA496)&gt;1),"Site web","")))</x:f>
      </x:c>
      <x:c r="J496" s="33" t="str">
        <x:v>Pharmacie Raoul</x:v>
      </x:c>
      <x:c r="K496" s="33" t="str">
        <x:v>Santé</x:v>
      </x:c>
      <x:c r="L496" s="33" t="str">
        <x:v>Pharmacies</x:v>
      </x:c>
      <x:c r="M496" s="33" t="str">
        <x:v>Conakry (à vérifier)</x:v>
      </x:c>
      <x:c r="N496" s="33" t="str"/>
      <x:c r="O496" s="33" t="str"/>
      <x:c r="P496" s="33" t="str">
        <x:v>+224623643524</x:v>
      </x:c>
      <x:c r="Q496" s="33" t="str"/>
      <x:c r="R496" s="33" t="str"/>
      <x:c r="S496" s="33" t="str"/>
      <x:c r="T496" s="35" t="n">
        <x:v>9.6333641</x:v>
      </x:c>
      <x:c r="U496" s="35" t="n">
        <x:v>-13.5719013</x:v>
      </x:c>
      <x:c r="V496" s="33" t="str">
        <x:v>https://www.openstreetmap.org/node/5820668407</x:v>
      </x:c>
      <x:c r="W496" s="33" t="str">
        <x:v>node/5820668407</x:v>
      </x:c>
      <x:c r="X496" s="33" t="str">
        <x:v>review_required</x:v>
      </x:c>
      <x:c r="Y496" s="33" t="str">
        <x:v>pharmacie raoul|conakry a verifier</x:v>
      </x:c>
      <x:c r="Z496" s="33" t="str">
        <x:v>224623643524</x:v>
      </x:c>
      <x:c r="AA496" s="33" t="str"/>
    </x:row>
    <x:row r="497">
      <x:c r="A497" s="30" t="str">
        <x:v>À vérifier</x:v>
      </x:c>
      <x:c r="B497" s="30" t="str"/>
      <x:c r="C497" s="31"/>
      <x:c r="D497" s="30" t="str">
        <x:v>Non vérifié</x:v>
      </x:c>
      <x:c r="E497" s="30" t="str"/>
      <x:c r="F497" s="30" t="str"/>
      <x:c r="G497" s="32" t="str"/>
      <x:c r="H497" s="33" t="str">
        <x:f>IF(I497&lt;&gt;"","Doublon possible","")</x:f>
      </x:c>
      <x:c r="I497" s="33" t="str">
        <x:f>IF(COUNTIFS($Y$9:$Y$678,Y497)&gt;1,"Nom + ville",IF(AND(Z497&lt;&gt;"",COUNTIFS($Z$9:$Z$678,Z497)&gt;1),"Téléphone",IF(AND(AA497&lt;&gt;"",COUNTIFS($AA$9:$AA$678,AA497)&gt;1),"Site web","")))</x:f>
      </x:c>
      <x:c r="J497" s="33" t="str">
        <x:v>Pharmacie Ratoma Bonfi</x:v>
      </x:c>
      <x:c r="K497" s="33" t="str">
        <x:v>Santé</x:v>
      </x:c>
      <x:c r="L497" s="33" t="str">
        <x:v>Pharmacies</x:v>
      </x:c>
      <x:c r="M497" s="33" t="str">
        <x:v>Conakry (à vérifier)</x:v>
      </x:c>
      <x:c r="N497" s="33" t="str"/>
      <x:c r="O497" s="33" t="str"/>
      <x:c r="P497" s="33" t="str">
        <x:v>+224657438959</x:v>
      </x:c>
      <x:c r="Q497" s="33" t="str"/>
      <x:c r="R497" s="33" t="str"/>
      <x:c r="S497" s="33" t="str"/>
      <x:c r="T497" s="35" t="n">
        <x:v>9.593927</x:v>
      </x:c>
      <x:c r="U497" s="35" t="n">
        <x:v>-13.6564703</x:v>
      </x:c>
      <x:c r="V497" s="33" t="str">
        <x:v>https://www.openstreetmap.org/node/5528602736</x:v>
      </x:c>
      <x:c r="W497" s="33" t="str">
        <x:v>node/5528602736</x:v>
      </x:c>
      <x:c r="X497" s="33" t="str">
        <x:v>review_required</x:v>
      </x:c>
      <x:c r="Y497" s="33" t="str">
        <x:v>pharmacie ratoma bonfi|conakry a verifier</x:v>
      </x:c>
      <x:c r="Z497" s="33" t="str">
        <x:v>224657438959</x:v>
      </x:c>
      <x:c r="AA497" s="33" t="str"/>
    </x:row>
    <x:row r="498">
      <x:c r="A498" s="30" t="str">
        <x:v>À vérifier</x:v>
      </x:c>
      <x:c r="B498" s="30" t="str"/>
      <x:c r="C498" s="31"/>
      <x:c r="D498" s="30" t="str">
        <x:v>Non vérifié</x:v>
      </x:c>
      <x:c r="E498" s="30" t="str"/>
      <x:c r="F498" s="30" t="str"/>
      <x:c r="G498" s="32" t="str"/>
      <x:c r="H498" s="33" t="str">
        <x:f>IF(I498&lt;&gt;"","Doublon possible","")</x:f>
      </x:c>
      <x:c r="I498" s="33" t="str">
        <x:f>IF(COUNTIFS($Y$9:$Y$678,Y498)&gt;1,"Nom + ville",IF(AND(Z498&lt;&gt;"",COUNTIFS($Z$9:$Z$678,Z498)&gt;1),"Téléphone",IF(AND(AA498&lt;&gt;"",COUNTIFS($AA$9:$AA$678,AA498)&gt;1),"Site web","")))</x:f>
      </x:c>
      <x:c r="J498" s="33" t="str">
        <x:v>Pharmacie Remède</x:v>
      </x:c>
      <x:c r="K498" s="33" t="str">
        <x:v>Santé</x:v>
      </x:c>
      <x:c r="L498" s="33" t="str">
        <x:v>Pharmacies</x:v>
      </x:c>
      <x:c r="M498" s="33" t="str">
        <x:v>Conakry (à vérifier)</x:v>
      </x:c>
      <x:c r="N498" s="33" t="str"/>
      <x:c r="O498" s="33" t="str"/>
      <x:c r="P498" s="33" t="str">
        <x:v>+224625508046</x:v>
      </x:c>
      <x:c r="Q498" s="33" t="str"/>
      <x:c r="R498" s="33" t="str"/>
      <x:c r="S498" s="33" t="str"/>
      <x:c r="T498" s="35" t="n">
        <x:v>9.6471614</x:v>
      </x:c>
      <x:c r="U498" s="35" t="n">
        <x:v>-13.5910007</x:v>
      </x:c>
      <x:c r="V498" s="33" t="str">
        <x:v>https://www.openstreetmap.org/node/7372082527</x:v>
      </x:c>
      <x:c r="W498" s="33" t="str">
        <x:v>node/7372082527</x:v>
      </x:c>
      <x:c r="X498" s="33" t="str">
        <x:v>review_required</x:v>
      </x:c>
      <x:c r="Y498" s="33" t="str">
        <x:v>pharmacie remede|conakry a verifier</x:v>
      </x:c>
      <x:c r="Z498" s="33" t="str">
        <x:v>224625508046</x:v>
      </x:c>
      <x:c r="AA498" s="33" t="str"/>
    </x:row>
    <x:row r="499">
      <x:c r="A499" s="30" t="str">
        <x:v>À vérifier</x:v>
      </x:c>
      <x:c r="B499" s="30" t="str"/>
      <x:c r="C499" s="31"/>
      <x:c r="D499" s="30" t="str">
        <x:v>Non vérifié</x:v>
      </x:c>
      <x:c r="E499" s="30" t="str"/>
      <x:c r="F499" s="30" t="str"/>
      <x:c r="G499" s="32" t="str"/>
      <x:c r="H499" s="33" t="str">
        <x:f>IF(I499&lt;&gt;"","Doublon possible","")</x:f>
      </x:c>
      <x:c r="I499" s="33" t="str">
        <x:f>IF(COUNTIFS($Y$9:$Y$678,Y499)&gt;1,"Nom + ville",IF(AND(Z499&lt;&gt;"",COUNTIFS($Z$9:$Z$678,Z499)&gt;1),"Téléphone",IF(AND(AA499&lt;&gt;"",COUNTIFS($AA$9:$AA$678,AA499)&gt;1),"Site web","")))</x:f>
      </x:c>
      <x:c r="J499" s="33" t="str">
        <x:v>Pharmacie Renaissance</x:v>
      </x:c>
      <x:c r="K499" s="33" t="str">
        <x:v>Santé</x:v>
      </x:c>
      <x:c r="L499" s="33" t="str">
        <x:v>Pharmacies</x:v>
      </x:c>
      <x:c r="M499" s="33" t="str">
        <x:v>Conakry (à vérifier)</x:v>
      </x:c>
      <x:c r="N499" s="33" t="str"/>
      <x:c r="O499" s="33" t="str"/>
      <x:c r="P499" s="33" t="str">
        <x:v>+224657292929</x:v>
      </x:c>
      <x:c r="Q499" s="33" t="str"/>
      <x:c r="R499" s="33" t="str"/>
      <x:c r="S499" s="33" t="str"/>
      <x:c r="T499" s="35" t="n">
        <x:v>9.5853966</x:v>
      </x:c>
      <x:c r="U499" s="35" t="n">
        <x:v>-13.6591725</x:v>
      </x:c>
      <x:c r="V499" s="33" t="str">
        <x:v>https://www.openstreetmap.org/node/4758395251</x:v>
      </x:c>
      <x:c r="W499" s="33" t="str">
        <x:v>node/4758395251</x:v>
      </x:c>
      <x:c r="X499" s="33" t="str">
        <x:v>review_required</x:v>
      </x:c>
      <x:c r="Y499" s="33" t="str">
        <x:v>pharmacie renaissance|conakry a verifier</x:v>
      </x:c>
      <x:c r="Z499" s="33" t="str">
        <x:v>224657292929</x:v>
      </x:c>
      <x:c r="AA499" s="33" t="str"/>
    </x:row>
    <x:row r="500">
      <x:c r="A500" s="30" t="str">
        <x:v>À vérifier</x:v>
      </x:c>
      <x:c r="B500" s="30" t="str"/>
      <x:c r="C500" s="31"/>
      <x:c r="D500" s="30" t="str">
        <x:v>Non vérifié</x:v>
      </x:c>
      <x:c r="E500" s="30" t="str"/>
      <x:c r="F500" s="30" t="str"/>
      <x:c r="G500" s="32" t="str"/>
      <x:c r="H500" s="33" t="str">
        <x:f>IF(I500&lt;&gt;"","Doublon possible","")</x:f>
      </x:c>
      <x:c r="I500" s="33" t="str">
        <x:f>IF(COUNTIFS($Y$9:$Y$678,Y500)&gt;1,"Nom + ville",IF(AND(Z500&lt;&gt;"",COUNTIFS($Z$9:$Z$678,Z500)&gt;1),"Téléphone",IF(AND(AA500&lt;&gt;"",COUNTIFS($AA$9:$AA$678,AA500)&gt;1),"Site web","")))</x:f>
      </x:c>
      <x:c r="J500" s="33" t="str">
        <x:v>Pharmacie Sadio</x:v>
      </x:c>
      <x:c r="K500" s="33" t="str">
        <x:v>Santé</x:v>
      </x:c>
      <x:c r="L500" s="33" t="str">
        <x:v>Pharmacies</x:v>
      </x:c>
      <x:c r="M500" s="33" t="str">
        <x:v>Conakry (à vérifier)</x:v>
      </x:c>
      <x:c r="N500" s="33" t="str"/>
      <x:c r="O500" s="33" t="str"/>
      <x:c r="P500" s="33" t="str">
        <x:v>626489936</x:v>
      </x:c>
      <x:c r="Q500" s="33" t="str"/>
      <x:c r="R500" s="33" t="str"/>
      <x:c r="S500" s="33" t="str"/>
      <x:c r="T500" s="35" t="n">
        <x:v>9.7173358</x:v>
      </x:c>
      <x:c r="U500" s="35" t="n">
        <x:v>-13.5011577</x:v>
      </x:c>
      <x:c r="V500" s="33" t="str">
        <x:v>https://www.openstreetmap.org/node/10244825162</x:v>
      </x:c>
      <x:c r="W500" s="33" t="str">
        <x:v>node/10244825162</x:v>
      </x:c>
      <x:c r="X500" s="33" t="str">
        <x:v>review_required</x:v>
      </x:c>
      <x:c r="Y500" s="33" t="str">
        <x:v>pharmacie sadio|conakry a verifier</x:v>
      </x:c>
      <x:c r="Z500" s="33" t="str">
        <x:v>224626489936</x:v>
      </x:c>
      <x:c r="AA500" s="33" t="str"/>
    </x:row>
    <x:row r="501">
      <x:c r="A501" s="30" t="str">
        <x:v>À vérifier</x:v>
      </x:c>
      <x:c r="B501" s="30" t="str"/>
      <x:c r="C501" s="31"/>
      <x:c r="D501" s="30" t="str">
        <x:v>Non vérifié</x:v>
      </x:c>
      <x:c r="E501" s="30" t="str"/>
      <x:c r="F501" s="30" t="str"/>
      <x:c r="G501" s="32" t="str"/>
      <x:c r="H501" s="33" t="str">
        <x:f>IF(I501&lt;&gt;"","Doublon possible","")</x:f>
      </x:c>
      <x:c r="I501" s="33" t="str">
        <x:f>IF(COUNTIFS($Y$9:$Y$678,Y501)&gt;1,"Nom + ville",IF(AND(Z501&lt;&gt;"",COUNTIFS($Z$9:$Z$678,Z501)&gt;1),"Téléphone",IF(AND(AA501&lt;&gt;"",COUNTIFS($AA$9:$AA$678,AA501)&gt;1),"Site web","")))</x:f>
      </x:c>
      <x:c r="J501" s="33" t="str">
        <x:v>Pharmacie Safiatou</x:v>
      </x:c>
      <x:c r="K501" s="33" t="str">
        <x:v>Santé</x:v>
      </x:c>
      <x:c r="L501" s="33" t="str">
        <x:v>Pharmacies</x:v>
      </x:c>
      <x:c r="M501" s="33" t="str">
        <x:v>Conakry (à vérifier)</x:v>
      </x:c>
      <x:c r="N501" s="33" t="str"/>
      <x:c r="O501" s="33" t="str"/>
      <x:c r="P501" s="33" t="str">
        <x:v>+224628588756</x:v>
      </x:c>
      <x:c r="Q501" s="33" t="str">
        <x:v>pharmaciesafiatou@gmail.com</x:v>
      </x:c>
      <x:c r="R501" s="33" t="str"/>
      <x:c r="S501" s="33" t="str"/>
      <x:c r="T501" s="35" t="n">
        <x:v>9.68102</x:v>
      </x:c>
      <x:c r="U501" s="35" t="n">
        <x:v>-13.5346963</x:v>
      </x:c>
      <x:c r="V501" s="33" t="str">
        <x:v>https://www.openstreetmap.org/node/4852198622</x:v>
      </x:c>
      <x:c r="W501" s="33" t="str">
        <x:v>node/4852198622</x:v>
      </x:c>
      <x:c r="X501" s="33" t="str">
        <x:v>review_required</x:v>
      </x:c>
      <x:c r="Y501" s="33" t="str">
        <x:v>pharmacie safiatou|conakry a verifier</x:v>
      </x:c>
      <x:c r="Z501" s="33" t="str">
        <x:v>224628588756</x:v>
      </x:c>
      <x:c r="AA501" s="33" t="str"/>
    </x:row>
    <x:row r="502">
      <x:c r="A502" s="30" t="str">
        <x:v>À vérifier</x:v>
      </x:c>
      <x:c r="B502" s="30" t="str"/>
      <x:c r="C502" s="31"/>
      <x:c r="D502" s="30" t="str">
        <x:v>Non vérifié</x:v>
      </x:c>
      <x:c r="E502" s="30" t="str"/>
      <x:c r="F502" s="30" t="str"/>
      <x:c r="G502" s="32" t="str"/>
      <x:c r="H502" s="33" t="str">
        <x:f>IF(I502&lt;&gt;"","Doublon possible","")</x:f>
      </x:c>
      <x:c r="I502" s="33" t="str">
        <x:f>IF(COUNTIFS($Y$9:$Y$678,Y502)&gt;1,"Nom + ville",IF(AND(Z502&lt;&gt;"",COUNTIFS($Z$9:$Z$678,Z502)&gt;1),"Téléphone",IF(AND(AA502&lt;&gt;"",COUNTIFS($AA$9:$AA$678,AA502)&gt;1),"Site web","")))</x:f>
      </x:c>
      <x:c r="J502" s="33" t="str">
        <x:v>Pharmacie Sainte Marie</x:v>
      </x:c>
      <x:c r="K502" s="33" t="str">
        <x:v>Santé</x:v>
      </x:c>
      <x:c r="L502" s="33" t="str">
        <x:v>Pharmacies</x:v>
      </x:c>
      <x:c r="M502" s="33" t="str">
        <x:v>Conakry (à vérifier)</x:v>
      </x:c>
      <x:c r="N502" s="33" t="str"/>
      <x:c r="O502" s="33" t="str"/>
      <x:c r="P502" s="33" t="str">
        <x:v>+224657347416</x:v>
      </x:c>
      <x:c r="Q502" s="33" t="str"/>
      <x:c r="R502" s="33" t="str"/>
      <x:c r="S502" s="33" t="str"/>
      <x:c r="T502" s="35" t="n">
        <x:v>9.6024626</x:v>
      </x:c>
      <x:c r="U502" s="35" t="n">
        <x:v>-13.6027865</x:v>
      </x:c>
      <x:c r="V502" s="33" t="str">
        <x:v>https://www.openstreetmap.org/node/5592973038</x:v>
      </x:c>
      <x:c r="W502" s="33" t="str">
        <x:v>node/5592973038</x:v>
      </x:c>
      <x:c r="X502" s="33" t="str">
        <x:v>review_required</x:v>
      </x:c>
      <x:c r="Y502" s="33" t="str">
        <x:v>pharmacie sainte marie|conakry a verifier</x:v>
      </x:c>
      <x:c r="Z502" s="33" t="str">
        <x:v>224657347416</x:v>
      </x:c>
      <x:c r="AA502" s="33" t="str"/>
    </x:row>
    <x:row r="503">
      <x:c r="A503" s="30" t="str">
        <x:v>À vérifier</x:v>
      </x:c>
      <x:c r="B503" s="30" t="str"/>
      <x:c r="C503" s="31"/>
      <x:c r="D503" s="30" t="str">
        <x:v>Non vérifié</x:v>
      </x:c>
      <x:c r="E503" s="30" t="str"/>
      <x:c r="F503" s="30" t="str"/>
      <x:c r="G503" s="32" t="str"/>
      <x:c r="H503" s="33" t="str">
        <x:f>IF(I503&lt;&gt;"","Doublon possible","")</x:f>
      </x:c>
      <x:c r="I503" s="33" t="str">
        <x:f>IF(COUNTIFS($Y$9:$Y$678,Y503)&gt;1,"Nom + ville",IF(AND(Z503&lt;&gt;"",COUNTIFS($Z$9:$Z$678,Z503)&gt;1),"Téléphone",IF(AND(AA503&lt;&gt;"",COUNTIFS($AA$9:$AA$678,AA503)&gt;1),"Site web","")))</x:f>
      </x:c>
      <x:c r="J503" s="33" t="str">
        <x:v>Pharmacie Sanou</x:v>
      </x:c>
      <x:c r="K503" s="33" t="str">
        <x:v>Santé</x:v>
      </x:c>
      <x:c r="L503" s="33" t="str">
        <x:v>Pharmacies</x:v>
      </x:c>
      <x:c r="M503" s="33" t="str">
        <x:v>Conakry (à vérifier)</x:v>
      </x:c>
      <x:c r="N503" s="33" t="str"/>
      <x:c r="O503" s="33" t="str"/>
      <x:c r="P503" s="33" t="str">
        <x:v>620189420</x:v>
      </x:c>
      <x:c r="Q503" s="33" t="str"/>
      <x:c r="R503" s="33" t="str"/>
      <x:c r="S503" s="33" t="str"/>
      <x:c r="T503" s="35" t="n">
        <x:v>9.6716515</x:v>
      </x:c>
      <x:c r="U503" s="35" t="n">
        <x:v>-13.5840252</x:v>
      </x:c>
      <x:c r="V503" s="33" t="str">
        <x:v>https://www.openstreetmap.org/node/4764486026</x:v>
      </x:c>
      <x:c r="W503" s="33" t="str">
        <x:v>node/4764486026</x:v>
      </x:c>
      <x:c r="X503" s="33" t="str">
        <x:v>review_required</x:v>
      </x:c>
      <x:c r="Y503" s="33" t="str">
        <x:v>pharmacie sanou|conakry a verifier</x:v>
      </x:c>
      <x:c r="Z503" s="33" t="str">
        <x:v>224620189420</x:v>
      </x:c>
      <x:c r="AA503" s="33" t="str"/>
    </x:row>
    <x:row r="504">
      <x:c r="A504" s="30" t="str">
        <x:v>À vérifier</x:v>
      </x:c>
      <x:c r="B504" s="30" t="str"/>
      <x:c r="C504" s="31"/>
      <x:c r="D504" s="30" t="str">
        <x:v>Non vérifié</x:v>
      </x:c>
      <x:c r="E504" s="30" t="str"/>
      <x:c r="F504" s="30" t="str"/>
      <x:c r="G504" s="32" t="str"/>
      <x:c r="H504" s="33" t="str">
        <x:f>IF(I504&lt;&gt;"","Doublon possible","")</x:f>
        <x:v>Doublon possible</x:v>
      </x:c>
      <x:c r="I504" s="33" t="str">
        <x:f>IF(COUNTIFS($Y$9:$Y$678,Y504)&gt;1,"Nom + ville",IF(AND(Z504&lt;&gt;"",COUNTIFS($Z$9:$Z$678,Z504)&gt;1),"Téléphone",IF(AND(AA504&lt;&gt;"",COUNTIFS($AA$9:$AA$678,AA504)&gt;1),"Site web","")))</x:f>
        <x:v>Site web</x:v>
      </x:c>
      <x:c r="J504" s="33" t="str">
        <x:v>Pharmacie Santé &amp; Bien être</x:v>
      </x:c>
      <x:c r="K504" s="33" t="str">
        <x:v>Santé</x:v>
      </x:c>
      <x:c r="L504" s="33" t="str">
        <x:v>Pharmacies</x:v>
      </x:c>
      <x:c r="M504" s="33" t="str">
        <x:v>Conakry (à vérifier)</x:v>
      </x:c>
      <x:c r="N504" s="33" t="str"/>
      <x:c r="O504" s="33" t="str"/>
      <x:c r="P504" s="33" t="str">
        <x:v>+224628327045</x:v>
      </x:c>
      <x:c r="Q504" s="33" t="str"/>
      <x:c r="R504" s="33" t="str">
        <x:v>salioupaharma@gmail.com</x:v>
      </x:c>
      <x:c r="S504" s="33" t="str"/>
      <x:c r="T504" s="35" t="n">
        <x:v>9.6556593</x:v>
      </x:c>
      <x:c r="U504" s="35" t="n">
        <x:v>-13.6003692</x:v>
      </x:c>
      <x:c r="V504" s="33" t="str">
        <x:v>https://www.openstreetmap.org/node/6502212381</x:v>
      </x:c>
      <x:c r="W504" s="33" t="str">
        <x:v>node/6502212381</x:v>
      </x:c>
      <x:c r="X504" s="33" t="str">
        <x:v>review_required</x:v>
      </x:c>
      <x:c r="Y504" s="33" t="str">
        <x:v>pharmacie sante bien etre|conakry a verifier</x:v>
      </x:c>
      <x:c r="Z504" s="33" t="str">
        <x:v>224628327045</x:v>
      </x:c>
      <x:c r="AA504" s="33" t="str">
        <x:v>gmail.com</x:v>
      </x:c>
    </x:row>
    <x:row r="505">
      <x:c r="A505" s="30" t="str">
        <x:v>À vérifier</x:v>
      </x:c>
      <x:c r="B505" s="30" t="str"/>
      <x:c r="C505" s="31"/>
      <x:c r="D505" s="30" t="str">
        <x:v>Non vérifié</x:v>
      </x:c>
      <x:c r="E505" s="30" t="str"/>
      <x:c r="F505" s="30" t="str"/>
      <x:c r="G505" s="32" t="str"/>
      <x:c r="H505" s="33" t="str">
        <x:f>IF(I505&lt;&gt;"","Doublon possible","")</x:f>
      </x:c>
      <x:c r="I505" s="33" t="str">
        <x:f>IF(COUNTIFS($Y$9:$Y$678,Y505)&gt;1,"Nom + ville",IF(AND(Z505&lt;&gt;"",COUNTIFS($Z$9:$Z$678,Z505)&gt;1),"Téléphone",IF(AND(AA505&lt;&gt;"",COUNTIFS($AA$9:$AA$678,AA505)&gt;1),"Site web","")))</x:f>
      </x:c>
      <x:c r="J505" s="33" t="str">
        <x:v>Pharmacie Sidigbe</x:v>
      </x:c>
      <x:c r="K505" s="33" t="str">
        <x:v>Santé</x:v>
      </x:c>
      <x:c r="L505" s="33" t="str">
        <x:v>Pharmacies</x:v>
      </x:c>
      <x:c r="M505" s="33" t="str">
        <x:v>Conakry (à vérifier)</x:v>
      </x:c>
      <x:c r="N505" s="33" t="str"/>
      <x:c r="O505" s="33" t="str"/>
      <x:c r="P505" s="33" t="str">
        <x:v>+224620034438</x:v>
      </x:c>
      <x:c r="Q505" s="33" t="str">
        <x:v>pharma.sidigbe@gmail.com</x:v>
      </x:c>
      <x:c r="R505" s="33" t="str"/>
      <x:c r="S505" s="33" t="str"/>
      <x:c r="T505" s="35" t="n">
        <x:v>9.6642847</x:v>
      </x:c>
      <x:c r="U505" s="35" t="n">
        <x:v>-13.528254</x:v>
      </x:c>
      <x:c r="V505" s="33" t="str">
        <x:v>https://www.openstreetmap.org/node/5777818919</x:v>
      </x:c>
      <x:c r="W505" s="33" t="str">
        <x:v>node/5777818919</x:v>
      </x:c>
      <x:c r="X505" s="33" t="str">
        <x:v>review_required</x:v>
      </x:c>
      <x:c r="Y505" s="33" t="str">
        <x:v>pharmacie sidigbe|conakry a verifier</x:v>
      </x:c>
      <x:c r="Z505" s="33" t="str">
        <x:v>224620034438</x:v>
      </x:c>
      <x:c r="AA505" s="33" t="str"/>
    </x:row>
    <x:row r="506">
      <x:c r="A506" s="30" t="str">
        <x:v>À vérifier</x:v>
      </x:c>
      <x:c r="B506" s="30" t="str"/>
      <x:c r="C506" s="31"/>
      <x:c r="D506" s="30" t="str">
        <x:v>Non vérifié</x:v>
      </x:c>
      <x:c r="E506" s="30" t="str"/>
      <x:c r="F506" s="30" t="str"/>
      <x:c r="G506" s="32" t="str"/>
      <x:c r="H506" s="33" t="str">
        <x:f>IF(I506&lt;&gt;"","Doublon possible","")</x:f>
      </x:c>
      <x:c r="I506" s="33" t="str">
        <x:f>IF(COUNTIFS($Y$9:$Y$678,Y506)&gt;1,"Nom + ville",IF(AND(Z506&lt;&gt;"",COUNTIFS($Z$9:$Z$678,Z506)&gt;1),"Téléphone",IF(AND(AA506&lt;&gt;"",COUNTIFS($AA$9:$AA$678,AA506)&gt;1),"Site web","")))</x:f>
      </x:c>
      <x:c r="J506" s="33" t="str">
        <x:v>Pharmacie Sira</x:v>
      </x:c>
      <x:c r="K506" s="33" t="str">
        <x:v>Santé</x:v>
      </x:c>
      <x:c r="L506" s="33" t="str">
        <x:v>Pharmacies</x:v>
      </x:c>
      <x:c r="M506" s="33" t="str">
        <x:v>Conakry (à vérifier)</x:v>
      </x:c>
      <x:c r="N506" s="33" t="str"/>
      <x:c r="O506" s="33" t="str"/>
      <x:c r="P506" s="33" t="str">
        <x:v>+224628364196</x:v>
      </x:c>
      <x:c r="Q506" s="33" t="str"/>
      <x:c r="R506" s="33" t="str"/>
      <x:c r="S506" s="33" t="str"/>
      <x:c r="T506" s="35" t="n">
        <x:v>9.5732231</x:v>
      </x:c>
      <x:c r="U506" s="35" t="n">
        <x:v>-13.6557591</x:v>
      </x:c>
      <x:c r="V506" s="33" t="str">
        <x:v>https://www.openstreetmap.org/node/5550490738</x:v>
      </x:c>
      <x:c r="W506" s="33" t="str">
        <x:v>node/5550490738</x:v>
      </x:c>
      <x:c r="X506" s="33" t="str">
        <x:v>review_required</x:v>
      </x:c>
      <x:c r="Y506" s="33" t="str">
        <x:v>pharmacie sira|conakry a verifier</x:v>
      </x:c>
      <x:c r="Z506" s="33" t="str">
        <x:v>224628364196</x:v>
      </x:c>
      <x:c r="AA506" s="33" t="str"/>
    </x:row>
    <x:row r="507">
      <x:c r="A507" s="30" t="str">
        <x:v>À vérifier</x:v>
      </x:c>
      <x:c r="B507" s="30" t="str"/>
      <x:c r="C507" s="31"/>
      <x:c r="D507" s="30" t="str">
        <x:v>Non vérifié</x:v>
      </x:c>
      <x:c r="E507" s="30" t="str"/>
      <x:c r="F507" s="30" t="str"/>
      <x:c r="G507" s="32" t="str"/>
      <x:c r="H507" s="33" t="str">
        <x:f>IF(I507&lt;&gt;"","Doublon possible","")</x:f>
      </x:c>
      <x:c r="I507" s="33" t="str">
        <x:f>IF(COUNTIFS($Y$9:$Y$678,Y507)&gt;1,"Nom + ville",IF(AND(Z507&lt;&gt;"",COUNTIFS($Z$9:$Z$678,Z507)&gt;1),"Téléphone",IF(AND(AA507&lt;&gt;"",COUNTIFS($AA$9:$AA$678,AA507)&gt;1),"Site web","")))</x:f>
      </x:c>
      <x:c r="J507" s="33" t="str">
        <x:v>Pharmacie Stade Nongo</x:v>
      </x:c>
      <x:c r="K507" s="33" t="str">
        <x:v>Santé</x:v>
      </x:c>
      <x:c r="L507" s="33" t="str">
        <x:v>Pharmacies</x:v>
      </x:c>
      <x:c r="M507" s="33" t="str">
        <x:v>Conakry (à vérifier)</x:v>
      </x:c>
      <x:c r="N507" s="33" t="str"/>
      <x:c r="O507" s="33" t="str"/>
      <x:c r="P507" s="33" t="str">
        <x:v>626754240</x:v>
      </x:c>
      <x:c r="Q507" s="33" t="str"/>
      <x:c r="R507" s="33" t="str"/>
      <x:c r="S507" s="33" t="str"/>
      <x:c r="T507" s="35" t="n">
        <x:v>9.6216715</x:v>
      </x:c>
      <x:c r="U507" s="35" t="n">
        <x:v>-13.6318593</x:v>
      </x:c>
      <x:c r="V507" s="33" t="str">
        <x:v>https://www.openstreetmap.org/node/7366427606</x:v>
      </x:c>
      <x:c r="W507" s="33" t="str">
        <x:v>node/7366427606</x:v>
      </x:c>
      <x:c r="X507" s="33" t="str">
        <x:v>review_required</x:v>
      </x:c>
      <x:c r="Y507" s="33" t="str">
        <x:v>pharmacie stade nongo|conakry a verifier</x:v>
      </x:c>
      <x:c r="Z507" s="33" t="str">
        <x:v>224626754240</x:v>
      </x:c>
      <x:c r="AA507" s="33" t="str"/>
    </x:row>
    <x:row r="508">
      <x:c r="A508" s="30" t="str">
        <x:v>À vérifier</x:v>
      </x:c>
      <x:c r="B508" s="30" t="str"/>
      <x:c r="C508" s="31"/>
      <x:c r="D508" s="30" t="str">
        <x:v>Non vérifié</x:v>
      </x:c>
      <x:c r="E508" s="30" t="str"/>
      <x:c r="F508" s="30" t="str"/>
      <x:c r="G508" s="32" t="str"/>
      <x:c r="H508" s="33" t="str">
        <x:f>IF(I508&lt;&gt;"","Doublon possible","")</x:f>
      </x:c>
      <x:c r="I508" s="33" t="str">
        <x:f>IF(COUNTIFS($Y$9:$Y$678,Y508)&gt;1,"Nom + ville",IF(AND(Z508&lt;&gt;"",COUNTIFS($Z$9:$Z$678,Z508)&gt;1),"Téléphone",IF(AND(AA508&lt;&gt;"",COUNTIFS($AA$9:$AA$678,AA508)&gt;1),"Site web","")))</x:f>
      </x:c>
      <x:c r="J508" s="33" t="str">
        <x:v>Pharmacie SYLLA Kounda</x:v>
      </x:c>
      <x:c r="K508" s="33" t="str">
        <x:v>Santé</x:v>
      </x:c>
      <x:c r="L508" s="33" t="str">
        <x:v>Pharmacies</x:v>
      </x:c>
      <x:c r="M508" s="33" t="str">
        <x:v>Conakry (à vérifier)</x:v>
      </x:c>
      <x:c r="N508" s="33" t="str"/>
      <x:c r="O508" s="33" t="str"/>
      <x:c r="P508" s="33" t="str">
        <x:v>+224655023974</x:v>
      </x:c>
      <x:c r="Q508" s="33" t="str"/>
      <x:c r="R508" s="33" t="str"/>
      <x:c r="S508" s="33" t="str"/>
      <x:c r="T508" s="35" t="n">
        <x:v>9.6159334</x:v>
      </x:c>
      <x:c r="U508" s="35" t="n">
        <x:v>-13.5873667</x:v>
      </x:c>
      <x:c r="V508" s="33" t="str">
        <x:v>https://www.openstreetmap.org/node/5501837553</x:v>
      </x:c>
      <x:c r="W508" s="33" t="str">
        <x:v>node/5501837553</x:v>
      </x:c>
      <x:c r="X508" s="33" t="str">
        <x:v>review_required</x:v>
      </x:c>
      <x:c r="Y508" s="33" t="str">
        <x:v>pharmacie sylla kounda|conakry a verifier</x:v>
      </x:c>
      <x:c r="Z508" s="33" t="str">
        <x:v>224655023974</x:v>
      </x:c>
      <x:c r="AA508" s="33" t="str"/>
    </x:row>
    <x:row r="509">
      <x:c r="A509" s="30" t="str">
        <x:v>À vérifier</x:v>
      </x:c>
      <x:c r="B509" s="30" t="str"/>
      <x:c r="C509" s="31"/>
      <x:c r="D509" s="30" t="str">
        <x:v>Non vérifié</x:v>
      </x:c>
      <x:c r="E509" s="30" t="str"/>
      <x:c r="F509" s="30" t="str"/>
      <x:c r="G509" s="32" t="str"/>
      <x:c r="H509" s="33" t="str">
        <x:f>IF(I509&lt;&gt;"","Doublon possible","")</x:f>
      </x:c>
      <x:c r="I509" s="33" t="str">
        <x:f>IF(COUNTIFS($Y$9:$Y$678,Y509)&gt;1,"Nom + ville",IF(AND(Z509&lt;&gt;"",COUNTIFS($Z$9:$Z$678,Z509)&gt;1),"Téléphone",IF(AND(AA509&lt;&gt;"",COUNTIFS($AA$9:$AA$678,AA509)&gt;1),"Site web","")))</x:f>
      </x:c>
      <x:c r="J509" s="33" t="str">
        <x:v>pharmacie Tam Sow</x:v>
      </x:c>
      <x:c r="K509" s="33" t="str">
        <x:v>Santé</x:v>
      </x:c>
      <x:c r="L509" s="33" t="str">
        <x:v>Pharmacies</x:v>
      </x:c>
      <x:c r="M509" s="33" t="str">
        <x:v>Conakry (à vérifier)</x:v>
      </x:c>
      <x:c r="N509" s="33" t="str"/>
      <x:c r="O509" s="33" t="str"/>
      <x:c r="P509" s="33" t="str">
        <x:v>+224664308137</x:v>
      </x:c>
      <x:c r="Q509" s="33" t="str">
        <x:v>pharmacietamsow2012@yahoo.fr</x:v>
      </x:c>
      <x:c r="R509" s="33" t="str"/>
      <x:c r="S509" s="33" t="str"/>
      <x:c r="T509" s="35" t="n">
        <x:v>9.5754545</x:v>
      </x:c>
      <x:c r="U509" s="35" t="n">
        <x:v>-13.6533745</x:v>
      </x:c>
      <x:c r="V509" s="33" t="str">
        <x:v>https://www.openstreetmap.org/node/5511952782</x:v>
      </x:c>
      <x:c r="W509" s="33" t="str">
        <x:v>node/5511952782</x:v>
      </x:c>
      <x:c r="X509" s="33" t="str">
        <x:v>review_required</x:v>
      </x:c>
      <x:c r="Y509" s="33" t="str">
        <x:v>pharmacie tam sow|conakry a verifier</x:v>
      </x:c>
      <x:c r="Z509" s="33" t="str">
        <x:v>224664308137</x:v>
      </x:c>
      <x:c r="AA509" s="33" t="str"/>
    </x:row>
    <x:row r="510">
      <x:c r="A510" s="30" t="str">
        <x:v>À vérifier</x:v>
      </x:c>
      <x:c r="B510" s="30" t="str"/>
      <x:c r="C510" s="31"/>
      <x:c r="D510" s="30" t="str">
        <x:v>Non vérifié</x:v>
      </x:c>
      <x:c r="E510" s="30" t="str"/>
      <x:c r="F510" s="30" t="str"/>
      <x:c r="G510" s="32" t="str"/>
      <x:c r="H510" s="33" t="str">
        <x:f>IF(I510&lt;&gt;"","Doublon possible","")</x:f>
      </x:c>
      <x:c r="I510" s="33" t="str">
        <x:f>IF(COUNTIFS($Y$9:$Y$678,Y510)&gt;1,"Nom + ville",IF(AND(Z510&lt;&gt;"",COUNTIFS($Z$9:$Z$678,Z510)&gt;1),"Téléphone",IF(AND(AA510&lt;&gt;"",COUNTIFS($AA$9:$AA$678,AA510)&gt;1),"Site web","")))</x:f>
      </x:c>
      <x:c r="J510" s="33" t="str">
        <x:v>Pharmacie Taqwaa</x:v>
      </x:c>
      <x:c r="K510" s="33" t="str">
        <x:v>Santé</x:v>
      </x:c>
      <x:c r="L510" s="33" t="str">
        <x:v>Pharmacies</x:v>
      </x:c>
      <x:c r="M510" s="33" t="str">
        <x:v>Conakry (à vérifier)</x:v>
      </x:c>
      <x:c r="N510" s="33" t="str"/>
      <x:c r="O510" s="33" t="str"/>
      <x:c r="P510" s="33" t="str">
        <x:v>622069931</x:v>
      </x:c>
      <x:c r="Q510" s="33" t="str"/>
      <x:c r="R510" s="33" t="str"/>
      <x:c r="S510" s="33" t="str"/>
      <x:c r="T510" s="35" t="n">
        <x:v>9.6124356</x:v>
      </x:c>
      <x:c r="U510" s="35" t="n">
        <x:v>-13.5925273</x:v>
      </x:c>
      <x:c r="V510" s="33" t="str">
        <x:v>https://www.openstreetmap.org/node/10141416002</x:v>
      </x:c>
      <x:c r="W510" s="33" t="str">
        <x:v>node/10141416002</x:v>
      </x:c>
      <x:c r="X510" s="33" t="str">
        <x:v>review_required</x:v>
      </x:c>
      <x:c r="Y510" s="33" t="str">
        <x:v>pharmacie taqwaa|conakry a verifier</x:v>
      </x:c>
      <x:c r="Z510" s="33" t="str">
        <x:v>224622069931</x:v>
      </x:c>
      <x:c r="AA510" s="33" t="str"/>
    </x:row>
    <x:row r="511">
      <x:c r="A511" s="30" t="str">
        <x:v>À vérifier</x:v>
      </x:c>
      <x:c r="B511" s="30" t="str"/>
      <x:c r="C511" s="31"/>
      <x:c r="D511" s="30" t="str">
        <x:v>Non vérifié</x:v>
      </x:c>
      <x:c r="E511" s="30" t="str"/>
      <x:c r="F511" s="30" t="str"/>
      <x:c r="G511" s="32" t="str"/>
      <x:c r="H511" s="33" t="str">
        <x:f>IF(I511&lt;&gt;"","Doublon possible","")</x:f>
      </x:c>
      <x:c r="I511" s="33" t="str">
        <x:f>IF(COUNTIFS($Y$9:$Y$678,Y511)&gt;1,"Nom + ville",IF(AND(Z511&lt;&gt;"",COUNTIFS($Z$9:$Z$678,Z511)&gt;1),"Téléphone",IF(AND(AA511&lt;&gt;"",COUNTIFS($AA$9:$AA$678,AA511)&gt;1),"Site web","")))</x:f>
      </x:c>
      <x:c r="J511" s="33" t="str">
        <x:v>Pharmacie Tima</x:v>
      </x:c>
      <x:c r="K511" s="33" t="str">
        <x:v>Santé</x:v>
      </x:c>
      <x:c r="L511" s="33" t="str">
        <x:v>Pharmacies</x:v>
      </x:c>
      <x:c r="M511" s="33" t="str">
        <x:v>Conakry (à vérifier)</x:v>
      </x:c>
      <x:c r="N511" s="33" t="str"/>
      <x:c r="O511" s="33" t="str"/>
      <x:c r="P511" s="33" t="str">
        <x:v>625624764</x:v>
      </x:c>
      <x:c r="Q511" s="33" t="str"/>
      <x:c r="R511" s="33" t="str"/>
      <x:c r="S511" s="33" t="str"/>
      <x:c r="T511" s="35" t="n">
        <x:v>9.568451</x:v>
      </x:c>
      <x:c r="U511" s="35" t="n">
        <x:v>-13.6351508</x:v>
      </x:c>
      <x:c r="V511" s="33" t="str">
        <x:v>https://www.openstreetmap.org/node/4764486024</x:v>
      </x:c>
      <x:c r="W511" s="33" t="str">
        <x:v>node/4764486024</x:v>
      </x:c>
      <x:c r="X511" s="33" t="str">
        <x:v>review_required</x:v>
      </x:c>
      <x:c r="Y511" s="33" t="str">
        <x:v>pharmacie tima|conakry a verifier</x:v>
      </x:c>
      <x:c r="Z511" s="33" t="str">
        <x:v>224625624764</x:v>
      </x:c>
      <x:c r="AA511" s="33" t="str"/>
    </x:row>
    <x:row r="512">
      <x:c r="A512" s="30" t="str">
        <x:v>À vérifier</x:v>
      </x:c>
      <x:c r="B512" s="30" t="str"/>
      <x:c r="C512" s="31"/>
      <x:c r="D512" s="30" t="str">
        <x:v>Non vérifié</x:v>
      </x:c>
      <x:c r="E512" s="30" t="str"/>
      <x:c r="F512" s="30" t="str"/>
      <x:c r="G512" s="32" t="str"/>
      <x:c r="H512" s="33" t="str">
        <x:f>IF(I512&lt;&gt;"","Doublon possible","")</x:f>
      </x:c>
      <x:c r="I512" s="33" t="str">
        <x:f>IF(COUNTIFS($Y$9:$Y$678,Y512)&gt;1,"Nom + ville",IF(AND(Z512&lt;&gt;"",COUNTIFS($Z$9:$Z$678,Z512)&gt;1),"Téléphone",IF(AND(AA512&lt;&gt;"",COUNTIFS($AA$9:$AA$678,AA512)&gt;1),"Site web","")))</x:f>
      </x:c>
      <x:c r="J512" s="33" t="str">
        <x:v>Pharmacie Tokounou</x:v>
      </x:c>
      <x:c r="K512" s="33" t="str">
        <x:v>Santé</x:v>
      </x:c>
      <x:c r="L512" s="33" t="str">
        <x:v>Pharmacies</x:v>
      </x:c>
      <x:c r="M512" s="33" t="str">
        <x:v>Conakry (à vérifier)</x:v>
      </x:c>
      <x:c r="N512" s="33" t="str"/>
      <x:c r="O512" s="33" t="str"/>
      <x:c r="P512" s="33" t="str">
        <x:v>+224669485217</x:v>
      </x:c>
      <x:c r="Q512" s="33" t="str">
        <x:v>pharmacietokounou@gmail.com</x:v>
      </x:c>
      <x:c r="R512" s="33" t="str"/>
      <x:c r="S512" s="33" t="str"/>
      <x:c r="T512" s="35" t="n">
        <x:v>9.552138</x:v>
      </x:c>
      <x:c r="U512" s="35" t="n">
        <x:v>-13.6714064</x:v>
      </x:c>
      <x:c r="V512" s="33" t="str">
        <x:v>https://www.openstreetmap.org/node/5775488801</x:v>
      </x:c>
      <x:c r="W512" s="33" t="str">
        <x:v>node/5775488801</x:v>
      </x:c>
      <x:c r="X512" s="33" t="str">
        <x:v>review_required</x:v>
      </x:c>
      <x:c r="Y512" s="33" t="str">
        <x:v>pharmacie tokounou|conakry a verifier</x:v>
      </x:c>
      <x:c r="Z512" s="33" t="str">
        <x:v>224669485217</x:v>
      </x:c>
      <x:c r="AA512" s="33" t="str"/>
    </x:row>
    <x:row r="513">
      <x:c r="A513" s="30" t="str">
        <x:v>À vérifier</x:v>
      </x:c>
      <x:c r="B513" s="30" t="str"/>
      <x:c r="C513" s="31"/>
      <x:c r="D513" s="30" t="str">
        <x:v>Non vérifié</x:v>
      </x:c>
      <x:c r="E513" s="30" t="str"/>
      <x:c r="F513" s="30" t="str"/>
      <x:c r="G513" s="32" t="str"/>
      <x:c r="H513" s="33" t="str">
        <x:f>IF(I513&lt;&gt;"","Doublon possible","")</x:f>
      </x:c>
      <x:c r="I513" s="33" t="str">
        <x:f>IF(COUNTIFS($Y$9:$Y$678,Y513)&gt;1,"Nom + ville",IF(AND(Z513&lt;&gt;"",COUNTIFS($Z$9:$Z$678,Z513)&gt;1),"Téléphone",IF(AND(AA513&lt;&gt;"",COUNTIFS($AA$9:$AA$678,AA513)&gt;1),"Site web","")))</x:f>
      </x:c>
      <x:c r="J513" s="33" t="str">
        <x:v>Pharmacie Tombolia</x:v>
      </x:c>
      <x:c r="K513" s="33" t="str">
        <x:v>Santé</x:v>
      </x:c>
      <x:c r="L513" s="33" t="str">
        <x:v>Pharmacies</x:v>
      </x:c>
      <x:c r="M513" s="33" t="str">
        <x:v>Conakry (à vérifier)</x:v>
      </x:c>
      <x:c r="N513" s="33" t="str"/>
      <x:c r="O513" s="33" t="str"/>
      <x:c r="P513" s="33" t="str">
        <x:v>+224664240358</x:v>
      </x:c>
      <x:c r="Q513" s="33" t="str"/>
      <x:c r="R513" s="33" t="str"/>
      <x:c r="S513" s="33" t="str"/>
      <x:c r="T513" s="35" t="n">
        <x:v>9.6514934</x:v>
      </x:c>
      <x:c r="U513" s="35" t="n">
        <x:v>-13.5483023</x:v>
      </x:c>
      <x:c r="V513" s="33" t="str">
        <x:v>https://www.openstreetmap.org/node/5592973040</x:v>
      </x:c>
      <x:c r="W513" s="33" t="str">
        <x:v>node/5592973040</x:v>
      </x:c>
      <x:c r="X513" s="33" t="str">
        <x:v>review_required</x:v>
      </x:c>
      <x:c r="Y513" s="33" t="str">
        <x:v>pharmacie tombolia|conakry a verifier</x:v>
      </x:c>
      <x:c r="Z513" s="33" t="str">
        <x:v>224664240358</x:v>
      </x:c>
      <x:c r="AA513" s="33" t="str"/>
    </x:row>
    <x:row r="514">
      <x:c r="A514" s="30" t="str">
        <x:v>À vérifier</x:v>
      </x:c>
      <x:c r="B514" s="30" t="str"/>
      <x:c r="C514" s="31"/>
      <x:c r="D514" s="30" t="str">
        <x:v>Non vérifié</x:v>
      </x:c>
      <x:c r="E514" s="30" t="str"/>
      <x:c r="F514" s="30" t="str"/>
      <x:c r="G514" s="32" t="str"/>
      <x:c r="H514" s="33" t="str">
        <x:f>IF(I514&lt;&gt;"","Doublon possible","")</x:f>
      </x:c>
      <x:c r="I514" s="33" t="str">
        <x:f>IF(COUNTIFS($Y$9:$Y$678,Y514)&gt;1,"Nom + ville",IF(AND(Z514&lt;&gt;"",COUNTIFS($Z$9:$Z$678,Z514)&gt;1),"Téléphone",IF(AND(AA514&lt;&gt;"",COUNTIFS($AA$9:$AA$678,AA514)&gt;1),"Site web","")))</x:f>
      </x:c>
      <x:c r="J514" s="33" t="str">
        <x:v>Pharmacie Toumourou</x:v>
      </x:c>
      <x:c r="K514" s="33" t="str">
        <x:v>Santé</x:v>
      </x:c>
      <x:c r="L514" s="33" t="str">
        <x:v>Pharmacies</x:v>
      </x:c>
      <x:c r="M514" s="33" t="str">
        <x:v>Conakry (à vérifier)</x:v>
      </x:c>
      <x:c r="N514" s="33" t="str"/>
      <x:c r="O514" s="33" t="str"/>
      <x:c r="P514" s="33" t="str">
        <x:v>+224621843439</x:v>
      </x:c>
      <x:c r="Q514" s="33" t="str"/>
      <x:c r="R514" s="33" t="str"/>
      <x:c r="S514" s="33" t="str"/>
      <x:c r="T514" s="35" t="n">
        <x:v>9.634997</x:v>
      </x:c>
      <x:c r="U514" s="35" t="n">
        <x:v>-13.5713561</x:v>
      </x:c>
      <x:c r="V514" s="33" t="str">
        <x:v>https://www.openstreetmap.org/node/6005758700</x:v>
      </x:c>
      <x:c r="W514" s="33" t="str">
        <x:v>node/6005758700</x:v>
      </x:c>
      <x:c r="X514" s="33" t="str">
        <x:v>review_required</x:v>
      </x:c>
      <x:c r="Y514" s="33" t="str">
        <x:v>pharmacie toumourou|conakry a verifier</x:v>
      </x:c>
      <x:c r="Z514" s="33" t="str">
        <x:v>224621843439</x:v>
      </x:c>
      <x:c r="AA514" s="33" t="str"/>
    </x:row>
    <x:row r="515">
      <x:c r="A515" s="30" t="str">
        <x:v>À vérifier</x:v>
      </x:c>
      <x:c r="B515" s="30" t="str"/>
      <x:c r="C515" s="31"/>
      <x:c r="D515" s="30" t="str">
        <x:v>Non vérifié</x:v>
      </x:c>
      <x:c r="E515" s="30" t="str"/>
      <x:c r="F515" s="30" t="str"/>
      <x:c r="G515" s="32" t="str"/>
      <x:c r="H515" s="33" t="str">
        <x:f>IF(I515&lt;&gt;"","Doublon possible","")</x:f>
      </x:c>
      <x:c r="I515" s="33" t="str">
        <x:f>IF(COUNTIFS($Y$9:$Y$678,Y515)&gt;1,"Nom + ville",IF(AND(Z515&lt;&gt;"",COUNTIFS($Z$9:$Z$678,Z515)&gt;1),"Téléphone",IF(AND(AA515&lt;&gt;"",COUNTIFS($AA$9:$AA$678,AA515)&gt;1),"Site web","")))</x:f>
      </x:c>
      <x:c r="J515" s="33" t="str">
        <x:v>Pharmacie Unité</x:v>
      </x:c>
      <x:c r="K515" s="33" t="str">
        <x:v>Santé</x:v>
      </x:c>
      <x:c r="L515" s="33" t="str">
        <x:v>Pharmacies</x:v>
      </x:c>
      <x:c r="M515" s="33" t="str">
        <x:v>Conakry (à vérifier)</x:v>
      </x:c>
      <x:c r="N515" s="33" t="str"/>
      <x:c r="O515" s="33" t="str"/>
      <x:c r="P515" s="33" t="str">
        <x:v>627115252</x:v>
      </x:c>
      <x:c r="Q515" s="33" t="str">
        <x:v>pharmacieunite19@gmail.com</x:v>
      </x:c>
      <x:c r="R515" s="33" t="str"/>
      <x:c r="S515" s="33" t="str"/>
      <x:c r="T515" s="35" t="n">
        <x:v>9.6327078</x:v>
      </x:c>
      <x:c r="U515" s="35" t="n">
        <x:v>-13.5908638</x:v>
      </x:c>
      <x:c r="V515" s="33" t="str">
        <x:v>https://www.openstreetmap.org/node/6508678053</x:v>
      </x:c>
      <x:c r="W515" s="33" t="str">
        <x:v>node/6508678053</x:v>
      </x:c>
      <x:c r="X515" s="33" t="str">
        <x:v>review_required</x:v>
      </x:c>
      <x:c r="Y515" s="33" t="str">
        <x:v>pharmacie unite|conakry a verifier</x:v>
      </x:c>
      <x:c r="Z515" s="33" t="str">
        <x:v>224627115252</x:v>
      </x:c>
      <x:c r="AA515" s="33" t="str"/>
    </x:row>
    <x:row r="516">
      <x:c r="A516" s="30" t="str">
        <x:v>À vérifier</x:v>
      </x:c>
      <x:c r="B516" s="30" t="str"/>
      <x:c r="C516" s="31"/>
      <x:c r="D516" s="30" t="str">
        <x:v>Non vérifié</x:v>
      </x:c>
      <x:c r="E516" s="30" t="str"/>
      <x:c r="F516" s="30" t="str"/>
      <x:c r="G516" s="32" t="str"/>
      <x:c r="H516" s="33" t="str">
        <x:f>IF(I516&lt;&gt;"","Doublon possible","")</x:f>
      </x:c>
      <x:c r="I516" s="33" t="str">
        <x:f>IF(COUNTIFS($Y$9:$Y$678,Y516)&gt;1,"Nom + ville",IF(AND(Z516&lt;&gt;"",COUNTIFS($Z$9:$Z$678,Z516)&gt;1),"Téléphone",IF(AND(AA516&lt;&gt;"",COUNTIFS($AA$9:$AA$678,AA516)&gt;1),"Site web","")))</x:f>
      </x:c>
      <x:c r="J516" s="33" t="str">
        <x:v>Pharmacie Univers</x:v>
      </x:c>
      <x:c r="K516" s="33" t="str">
        <x:v>Santé</x:v>
      </x:c>
      <x:c r="L516" s="33" t="str">
        <x:v>Pharmacies</x:v>
      </x:c>
      <x:c r="M516" s="33" t="str">
        <x:v>Conakry (à vérifier)</x:v>
      </x:c>
      <x:c r="N516" s="33" t="str"/>
      <x:c r="O516" s="33" t="str"/>
      <x:c r="P516" s="33" t="str">
        <x:v>+224621565657</x:v>
      </x:c>
      <x:c r="Q516" s="33" t="str">
        <x:v>pharmacieunivers@gmail.com</x:v>
      </x:c>
      <x:c r="R516" s="33" t="str"/>
      <x:c r="S516" s="33" t="str"/>
      <x:c r="T516" s="35" t="n">
        <x:v>9.5809551</x:v>
      </x:c>
      <x:c r="U516" s="35" t="n">
        <x:v>-13.6480292</x:v>
      </x:c>
      <x:c r="V516" s="33" t="str">
        <x:v>https://www.openstreetmap.org/node/5511951107</x:v>
      </x:c>
      <x:c r="W516" s="33" t="str">
        <x:v>node/5511951107</x:v>
      </x:c>
      <x:c r="X516" s="33" t="str">
        <x:v>review_required</x:v>
      </x:c>
      <x:c r="Y516" s="33" t="str">
        <x:v>pharmacie univers|conakry a verifier</x:v>
      </x:c>
      <x:c r="Z516" s="33" t="str">
        <x:v>224621565657</x:v>
      </x:c>
      <x:c r="AA516" s="33" t="str"/>
    </x:row>
    <x:row r="517">
      <x:c r="A517" s="30" t="str">
        <x:v>À vérifier</x:v>
      </x:c>
      <x:c r="B517" s="30" t="str"/>
      <x:c r="C517" s="31"/>
      <x:c r="D517" s="30" t="str">
        <x:v>Non vérifié</x:v>
      </x:c>
      <x:c r="E517" s="30" t="str"/>
      <x:c r="F517" s="30" t="str"/>
      <x:c r="G517" s="32" t="str"/>
      <x:c r="H517" s="33" t="str">
        <x:f>IF(I517&lt;&gt;"","Doublon possible","")</x:f>
      </x:c>
      <x:c r="I517" s="33" t="str">
        <x:f>IF(COUNTIFS($Y$9:$Y$678,Y517)&gt;1,"Nom + ville",IF(AND(Z517&lt;&gt;"",COUNTIFS($Z$9:$Z$678,Z517)&gt;1),"Téléphone",IF(AND(AA517&lt;&gt;"",COUNTIFS($AA$9:$AA$678,AA517)&gt;1),"Site web","")))</x:f>
      </x:c>
      <x:c r="J517" s="33" t="str">
        <x:v>Pharmacie Wanindara</x:v>
      </x:c>
      <x:c r="K517" s="33" t="str">
        <x:v>Santé</x:v>
      </x:c>
      <x:c r="L517" s="33" t="str">
        <x:v>Pharmacies</x:v>
      </x:c>
      <x:c r="M517" s="33" t="str">
        <x:v>Conakry (à vérifier)</x:v>
      </x:c>
      <x:c r="N517" s="33" t="str"/>
      <x:c r="O517" s="33" t="str"/>
      <x:c r="P517" s="33" t="str">
        <x:v>+224657979820</x:v>
      </x:c>
      <x:c r="Q517" s="33" t="str"/>
      <x:c r="R517" s="33" t="str"/>
      <x:c r="S517" s="33" t="str"/>
      <x:c r="T517" s="35" t="n">
        <x:v>9.6290806</x:v>
      </x:c>
      <x:c r="U517" s="35" t="n">
        <x:v>-13.5932917</x:v>
      </x:c>
      <x:c r="V517" s="33" t="str">
        <x:v>https://www.openstreetmap.org/node/5522081157</x:v>
      </x:c>
      <x:c r="W517" s="33" t="str">
        <x:v>node/5522081157</x:v>
      </x:c>
      <x:c r="X517" s="33" t="str">
        <x:v>review_required</x:v>
      </x:c>
      <x:c r="Y517" s="33" t="str">
        <x:v>pharmacie wanindara|conakry a verifier</x:v>
      </x:c>
      <x:c r="Z517" s="33" t="str">
        <x:v>224657979820</x:v>
      </x:c>
      <x:c r="AA517" s="33" t="str"/>
    </x:row>
    <x:row r="518">
      <x:c r="A518" s="30" t="str">
        <x:v>À vérifier</x:v>
      </x:c>
      <x:c r="B518" s="30" t="str"/>
      <x:c r="C518" s="31"/>
      <x:c r="D518" s="30" t="str">
        <x:v>Non vérifié</x:v>
      </x:c>
      <x:c r="E518" s="30" t="str"/>
      <x:c r="F518" s="30" t="str"/>
      <x:c r="G518" s="32" t="str"/>
      <x:c r="H518" s="33" t="str">
        <x:f>IF(I518&lt;&gt;"","Doublon possible","")</x:f>
      </x:c>
      <x:c r="I518" s="33" t="str">
        <x:f>IF(COUNTIFS($Y$9:$Y$678,Y518)&gt;1,"Nom + ville",IF(AND(Z518&lt;&gt;"",COUNTIFS($Z$9:$Z$678,Z518)&gt;1),"Téléphone",IF(AND(AA518&lt;&gt;"",COUNTIFS($AA$9:$AA$678,AA518)&gt;1),"Site web","")))</x:f>
      </x:c>
      <x:c r="J518" s="33" t="str">
        <x:v>Pharmacie Wargalan</x:v>
      </x:c>
      <x:c r="K518" s="33" t="str">
        <x:v>Santé</x:v>
      </x:c>
      <x:c r="L518" s="33" t="str">
        <x:v>Pharmacies</x:v>
      </x:c>
      <x:c r="M518" s="33" t="str">
        <x:v>Conakry (à vérifier)</x:v>
      </x:c>
      <x:c r="N518" s="33" t="str"/>
      <x:c r="O518" s="33" t="str"/>
      <x:c r="P518" s="33" t="str">
        <x:v>+224622646531</x:v>
      </x:c>
      <x:c r="Q518" s="33" t="str"/>
      <x:c r="R518" s="33" t="str"/>
      <x:c r="S518" s="33" t="str"/>
      <x:c r="T518" s="35" t="n">
        <x:v>9.5712695</x:v>
      </x:c>
      <x:c r="U518" s="35" t="n">
        <x:v>-13.6524376</x:v>
      </x:c>
      <x:c r="V518" s="33" t="str">
        <x:v>https://www.openstreetmap.org/node/5908586303</x:v>
      </x:c>
      <x:c r="W518" s="33" t="str">
        <x:v>node/5908586303</x:v>
      </x:c>
      <x:c r="X518" s="33" t="str">
        <x:v>review_required</x:v>
      </x:c>
      <x:c r="Y518" s="33" t="str">
        <x:v>pharmacie wargalan|conakry a verifier</x:v>
      </x:c>
      <x:c r="Z518" s="33" t="str">
        <x:v>224622646531</x:v>
      </x:c>
      <x:c r="AA518" s="33" t="str"/>
    </x:row>
    <x:row r="519">
      <x:c r="A519" s="30" t="str">
        <x:v>À vérifier</x:v>
      </x:c>
      <x:c r="B519" s="30" t="str"/>
      <x:c r="C519" s="31"/>
      <x:c r="D519" s="30" t="str">
        <x:v>Non vérifié</x:v>
      </x:c>
      <x:c r="E519" s="30" t="str"/>
      <x:c r="F519" s="30" t="str"/>
      <x:c r="G519" s="32" t="str"/>
      <x:c r="H519" s="33" t="str">
        <x:f>IF(I519&lt;&gt;"","Doublon possible","")</x:f>
      </x:c>
      <x:c r="I519" s="33" t="str">
        <x:f>IF(COUNTIFS($Y$9:$Y$678,Y519)&gt;1,"Nom + ville",IF(AND(Z519&lt;&gt;"",COUNTIFS($Z$9:$Z$678,Z519)&gt;1),"Téléphone",IF(AND(AA519&lt;&gt;"",COUNTIFS($AA$9:$AA$678,AA519)&gt;1),"Site web","")))</x:f>
      </x:c>
      <x:c r="J519" s="33" t="str">
        <x:v>Pharmacie Zaara</x:v>
      </x:c>
      <x:c r="K519" s="33" t="str">
        <x:v>Santé</x:v>
      </x:c>
      <x:c r="L519" s="33" t="str">
        <x:v>Pharmacies</x:v>
      </x:c>
      <x:c r="M519" s="33" t="str">
        <x:v>Conakry (à vérifier)</x:v>
      </x:c>
      <x:c r="N519" s="33" t="str"/>
      <x:c r="O519" s="33" t="str"/>
      <x:c r="P519" s="33" t="str">
        <x:v>626391554</x:v>
      </x:c>
      <x:c r="Q519" s="33" t="str"/>
      <x:c r="R519" s="33" t="str"/>
      <x:c r="S519" s="33" t="str"/>
      <x:c r="T519" s="35" t="n">
        <x:v>9.5836147</x:v>
      </x:c>
      <x:c r="U519" s="35" t="n">
        <x:v>-13.6432203</x:v>
      </x:c>
      <x:c r="V519" s="33" t="str">
        <x:v>https://www.openstreetmap.org/node/10227895392</x:v>
      </x:c>
      <x:c r="W519" s="33" t="str">
        <x:v>node/10227895392</x:v>
      </x:c>
      <x:c r="X519" s="33" t="str">
        <x:v>review_required</x:v>
      </x:c>
      <x:c r="Y519" s="33" t="str">
        <x:v>pharmacie zaara|conakry a verifier</x:v>
      </x:c>
      <x:c r="Z519" s="33" t="str">
        <x:v>224626391554</x:v>
      </x:c>
      <x:c r="AA519" s="33" t="str"/>
    </x:row>
    <x:row r="520">
      <x:c r="A520" s="30" t="str">
        <x:v>À vérifier</x:v>
      </x:c>
      <x:c r="B520" s="30" t="str"/>
      <x:c r="C520" s="31"/>
      <x:c r="D520" s="30" t="str">
        <x:v>Non vérifié</x:v>
      </x:c>
      <x:c r="E520" s="30" t="str"/>
      <x:c r="F520" s="30" t="str"/>
      <x:c r="G520" s="32" t="str"/>
      <x:c r="H520" s="33" t="str">
        <x:f>IF(I520&lt;&gt;"","Doublon possible","")</x:f>
      </x:c>
      <x:c r="I520" s="33" t="str">
        <x:f>IF(COUNTIFS($Y$9:$Y$678,Y520)&gt;1,"Nom + ville",IF(AND(Z520&lt;&gt;"",COUNTIFS($Z$9:$Z$678,Z520)&gt;1),"Téléphone",IF(AND(AA520&lt;&gt;"",COUNTIFS($AA$9:$AA$678,AA520)&gt;1),"Site web","")))</x:f>
      </x:c>
      <x:c r="J520" s="33" t="str">
        <x:v>pharmacie Zouhera</x:v>
      </x:c>
      <x:c r="K520" s="33" t="str">
        <x:v>Santé</x:v>
      </x:c>
      <x:c r="L520" s="33" t="str">
        <x:v>Pharmacies</x:v>
      </x:c>
      <x:c r="M520" s="33" t="str">
        <x:v>Conakry (à vérifier)</x:v>
      </x:c>
      <x:c r="N520" s="33" t="str"/>
      <x:c r="O520" s="33" t="str"/>
      <x:c r="P520" s="33" t="str">
        <x:v>+224655602114</x:v>
      </x:c>
      <x:c r="Q520" s="33" t="str"/>
      <x:c r="R520" s="33" t="str"/>
      <x:c r="S520" s="33" t="str"/>
      <x:c r="T520" s="35" t="n">
        <x:v>9.6386771</x:v>
      </x:c>
      <x:c r="U520" s="35" t="n">
        <x:v>-13.6165933</x:v>
      </x:c>
      <x:c r="V520" s="33" t="str">
        <x:v>https://www.openstreetmap.org/node/5528602734</x:v>
      </x:c>
      <x:c r="W520" s="33" t="str">
        <x:v>node/5528602734</x:v>
      </x:c>
      <x:c r="X520" s="33" t="str">
        <x:v>review_required</x:v>
      </x:c>
      <x:c r="Y520" s="33" t="str">
        <x:v>pharmacie zouhera|conakry a verifier</x:v>
      </x:c>
      <x:c r="Z520" s="33" t="str">
        <x:v>224655602114</x:v>
      </x:c>
      <x:c r="AA520" s="33" t="str"/>
    </x:row>
    <x:row r="521">
      <x:c r="A521" s="30" t="str">
        <x:v>À vérifier</x:v>
      </x:c>
      <x:c r="B521" s="30" t="str"/>
      <x:c r="C521" s="31"/>
      <x:c r="D521" s="30" t="str">
        <x:v>Non vérifié</x:v>
      </x:c>
      <x:c r="E521" s="30" t="str"/>
      <x:c r="F521" s="30" t="str"/>
      <x:c r="G521" s="32" t="str"/>
      <x:c r="H521" s="33" t="str">
        <x:f>IF(I521&lt;&gt;"","Doublon possible","")</x:f>
      </x:c>
      <x:c r="I521" s="33" t="str">
        <x:f>IF(COUNTIFS($Y$9:$Y$678,Y521)&gt;1,"Nom + ville",IF(AND(Z521&lt;&gt;"",COUNTIFS($Z$9:$Z$678,Z521)&gt;1),"Téléphone",IF(AND(AA521&lt;&gt;"",COUNTIFS($AA$9:$AA$678,AA521)&gt;1),"Site web","")))</x:f>
      </x:c>
      <x:c r="J521" s="33" t="str">
        <x:v>Polyclinique</x:v>
      </x:c>
      <x:c r="K521" s="33" t="str">
        <x:v>Santé</x:v>
      </x:c>
      <x:c r="L521" s="33" t="str">
        <x:v>Cliniques</x:v>
      </x:c>
      <x:c r="M521" s="33" t="str">
        <x:v>Conakry (à vérifier)</x:v>
      </x:c>
      <x:c r="N521" s="33" t="str"/>
      <x:c r="O521" s="33" t="str"/>
      <x:c r="P521" s="33" t="str">
        <x:v>+224622268412</x:v>
      </x:c>
      <x:c r="Q521" s="33" t="str"/>
      <x:c r="R521" s="33" t="str"/>
      <x:c r="S521" s="33" t="str"/>
      <x:c r="T521" s="35" t="n">
        <x:v>9.6329594</x:v>
      </x:c>
      <x:c r="U521" s="35" t="n">
        <x:v>-13.5657342</x:v>
      </x:c>
      <x:c r="V521" s="33" t="str">
        <x:v>https://www.openstreetmap.org/node/7394165289</x:v>
      </x:c>
      <x:c r="W521" s="33" t="str">
        <x:v>node/7394165289</x:v>
      </x:c>
      <x:c r="X521" s="33" t="str">
        <x:v>review_required</x:v>
      </x:c>
      <x:c r="Y521" s="33" t="str">
        <x:v>polyclinique|conakry a verifier</x:v>
      </x:c>
      <x:c r="Z521" s="33" t="str">
        <x:v>224622268412</x:v>
      </x:c>
      <x:c r="AA521" s="33" t="str"/>
    </x:row>
    <x:row r="522">
      <x:c r="A522" s="30" t="str">
        <x:v>À vérifier</x:v>
      </x:c>
      <x:c r="B522" s="30" t="str"/>
      <x:c r="C522" s="31"/>
      <x:c r="D522" s="30" t="str">
        <x:v>Non vérifié</x:v>
      </x:c>
      <x:c r="E522" s="30" t="str"/>
      <x:c r="F522" s="30" t="str"/>
      <x:c r="G522" s="32" t="str"/>
      <x:c r="H522" s="33" t="str">
        <x:f>IF(I522&lt;&gt;"","Doublon possible","")</x:f>
      </x:c>
      <x:c r="I522" s="33" t="str">
        <x:f>IF(COUNTIFS($Y$9:$Y$678,Y522)&gt;1,"Nom + ville",IF(AND(Z522&lt;&gt;"",COUNTIFS($Z$9:$Z$678,Z522)&gt;1),"Téléphone",IF(AND(AA522&lt;&gt;"",COUNTIFS($AA$9:$AA$678,AA522)&gt;1),"Site web","")))</x:f>
      </x:c>
      <x:c r="J522" s="33" t="str">
        <x:v>Polyclinique Best</x:v>
      </x:c>
      <x:c r="K522" s="33" t="str">
        <x:v>Santé</x:v>
      </x:c>
      <x:c r="L522" s="33" t="str">
        <x:v>Cliniques</x:v>
      </x:c>
      <x:c r="M522" s="33" t="str">
        <x:v>Conakry (à vérifier)</x:v>
      </x:c>
      <x:c r="N522" s="33" t="str"/>
      <x:c r="O522" s="33" t="str"/>
      <x:c r="P522" s="33" t="str">
        <x:v>629802020</x:v>
      </x:c>
      <x:c r="Q522" s="33" t="str"/>
      <x:c r="R522" s="33" t="str"/>
      <x:c r="S522" s="33" t="str"/>
      <x:c r="T522" s="35" t="n">
        <x:v>9.6261068</x:v>
      </x:c>
      <x:c r="U522" s="35" t="n">
        <x:v>-13.5877468</x:v>
      </x:c>
      <x:c r="V522" s="33" t="str">
        <x:v>https://www.openstreetmap.org/node/10902820188</x:v>
      </x:c>
      <x:c r="W522" s="33" t="str">
        <x:v>node/10902820188</x:v>
      </x:c>
      <x:c r="X522" s="33" t="str">
        <x:v>review_required</x:v>
      </x:c>
      <x:c r="Y522" s="33" t="str">
        <x:v>polyclinique best|conakry a verifier</x:v>
      </x:c>
      <x:c r="Z522" s="33" t="str">
        <x:v>224629802020</x:v>
      </x:c>
      <x:c r="AA522" s="33" t="str"/>
    </x:row>
    <x:row r="523">
      <x:c r="A523" s="30" t="str">
        <x:v>À vérifier</x:v>
      </x:c>
      <x:c r="B523" s="30" t="str"/>
      <x:c r="C523" s="31"/>
      <x:c r="D523" s="30" t="str">
        <x:v>Non vérifié</x:v>
      </x:c>
      <x:c r="E523" s="30" t="str"/>
      <x:c r="F523" s="30" t="str"/>
      <x:c r="G523" s="32" t="str"/>
      <x:c r="H523" s="33" t="str">
        <x:f>IF(I523&lt;&gt;"","Doublon possible","")</x:f>
      </x:c>
      <x:c r="I523" s="33" t="str">
        <x:f>IF(COUNTIFS($Y$9:$Y$678,Y523)&gt;1,"Nom + ville",IF(AND(Z523&lt;&gt;"",COUNTIFS($Z$9:$Z$678,Z523)&gt;1),"Téléphone",IF(AND(AA523&lt;&gt;"",COUNTIFS($AA$9:$AA$678,AA523)&gt;1),"Site web","")))</x:f>
      </x:c>
      <x:c r="J523" s="33" t="str">
        <x:v>Polyclinique Fei Tsui Sarlu</x:v>
      </x:c>
      <x:c r="K523" s="33" t="str">
        <x:v>Santé</x:v>
      </x:c>
      <x:c r="L523" s="33" t="str">
        <x:v>Cliniques</x:v>
      </x:c>
      <x:c r="M523" s="33" t="str">
        <x:v>Conakry (à vérifier)</x:v>
      </x:c>
      <x:c r="N523" s="33" t="str"/>
      <x:c r="O523" s="33" t="str"/>
      <x:c r="P523" s="33" t="str">
        <x:v>+224622661161</x:v>
      </x:c>
      <x:c r="Q523" s="33" t="str"/>
      <x:c r="R523" s="33" t="str"/>
      <x:c r="S523" s="33" t="str"/>
      <x:c r="T523" s="35" t="n">
        <x:v>9.5415205</x:v>
      </x:c>
      <x:c r="U523" s="35" t="n">
        <x:v>-13.6750013</x:v>
      </x:c>
      <x:c r="V523" s="33" t="str">
        <x:v>https://www.openstreetmap.org/node/5784052363</x:v>
      </x:c>
      <x:c r="W523" s="33" t="str">
        <x:v>node/5784052363</x:v>
      </x:c>
      <x:c r="X523" s="33" t="str">
        <x:v>review_required</x:v>
      </x:c>
      <x:c r="Y523" s="33" t="str">
        <x:v>polyclinique fei tsui sarlu|conakry a verifier</x:v>
      </x:c>
      <x:c r="Z523" s="33" t="str">
        <x:v>224622661161</x:v>
      </x:c>
      <x:c r="AA523" s="33" t="str"/>
    </x:row>
    <x:row r="524">
      <x:c r="A524" s="30" t="str">
        <x:v>À vérifier</x:v>
      </x:c>
      <x:c r="B524" s="30" t="str"/>
      <x:c r="C524" s="31"/>
      <x:c r="D524" s="30" t="str">
        <x:v>Non vérifié</x:v>
      </x:c>
      <x:c r="E524" s="30" t="str"/>
      <x:c r="F524" s="30" t="str"/>
      <x:c r="G524" s="32" t="str"/>
      <x:c r="H524" s="33" t="str">
        <x:f>IF(I524&lt;&gt;"","Doublon possible","")</x:f>
      </x:c>
      <x:c r="I524" s="33" t="str">
        <x:f>IF(COUNTIFS($Y$9:$Y$678,Y524)&gt;1,"Nom + ville",IF(AND(Z524&lt;&gt;"",COUNTIFS($Z$9:$Z$678,Z524)&gt;1),"Téléphone",IF(AND(AA524&lt;&gt;"",COUNTIFS($AA$9:$AA$678,AA524)&gt;1),"Site web","")))</x:f>
      </x:c>
      <x:c r="J524" s="33" t="str">
        <x:v>Polyclinique Internationale Institut Medico-légal Piimel</x:v>
      </x:c>
      <x:c r="K524" s="33" t="str">
        <x:v>Santé</x:v>
      </x:c>
      <x:c r="L524" s="33" t="str">
        <x:v>Cliniques</x:v>
      </x:c>
      <x:c r="M524" s="33" t="str">
        <x:v>Conakry (à vérifier)</x:v>
      </x:c>
      <x:c r="N524" s="33" t="str"/>
      <x:c r="O524" s="33" t="str"/>
      <x:c r="P524" s="33" t="str">
        <x:v>+224664766738</x:v>
      </x:c>
      <x:c r="Q524" s="33" t="str"/>
      <x:c r="R524" s="33" t="str">
        <x:v>https://piimel.com/</x:v>
      </x:c>
      <x:c r="S524" s="33" t="str"/>
      <x:c r="T524" s="35" t="n">
        <x:v>9.6311623</x:v>
      </x:c>
      <x:c r="U524" s="35" t="n">
        <x:v>-13.6115157</x:v>
      </x:c>
      <x:c r="V524" s="33" t="str">
        <x:v>https://www.openstreetmap.org/way/578102775</x:v>
      </x:c>
      <x:c r="W524" s="33" t="str">
        <x:v>way/578102775</x:v>
      </x:c>
      <x:c r="X524" s="33" t="str">
        <x:v>review_required</x:v>
      </x:c>
      <x:c r="Y524" s="33" t="str">
        <x:v>polyclinique internationale institut medico legal piimel|conakry a verifier</x:v>
      </x:c>
      <x:c r="Z524" s="33" t="str">
        <x:v>224664766738</x:v>
      </x:c>
      <x:c r="AA524" s="33" t="str">
        <x:v>piimel.com</x:v>
      </x:c>
    </x:row>
    <x:row r="525">
      <x:c r="A525" s="30" t="str">
        <x:v>À vérifier</x:v>
      </x:c>
      <x:c r="B525" s="30" t="str"/>
      <x:c r="C525" s="31"/>
      <x:c r="D525" s="30" t="str">
        <x:v>Non vérifié</x:v>
      </x:c>
      <x:c r="E525" s="30" t="str"/>
      <x:c r="F525" s="30" t="str"/>
      <x:c r="G525" s="32" t="str"/>
      <x:c r="H525" s="33" t="str">
        <x:f>IF(I525&lt;&gt;"","Doublon possible","")</x:f>
      </x:c>
      <x:c r="I525" s="33" t="str">
        <x:f>IF(COUNTIFS($Y$9:$Y$678,Y525)&gt;1,"Nom + ville",IF(AND(Z525&lt;&gt;"",COUNTIFS($Z$9:$Z$678,Z525)&gt;1),"Téléphone",IF(AND(AA525&lt;&gt;"",COUNTIFS($AA$9:$AA$678,AA525)&gt;1),"Site web","")))</x:f>
      </x:c>
      <x:c r="J525" s="33" t="str">
        <x:v>Polyclinique la grace</x:v>
      </x:c>
      <x:c r="K525" s="33" t="str">
        <x:v>Santé</x:v>
      </x:c>
      <x:c r="L525" s="33" t="str">
        <x:v>Cliniques</x:v>
      </x:c>
      <x:c r="M525" s="33" t="str">
        <x:v>Conakry (à vérifier)</x:v>
      </x:c>
      <x:c r="N525" s="33" t="str"/>
      <x:c r="O525" s="33" t="str"/>
      <x:c r="P525" s="33" t="str">
        <x:v>+224628578548</x:v>
      </x:c>
      <x:c r="Q525" s="33" t="str">
        <x:v>cliniquelagrace17@gmail.com</x:v>
      </x:c>
      <x:c r="R525" s="33" t="str"/>
      <x:c r="S525" s="33" t="str"/>
      <x:c r="T525" s="35" t="n">
        <x:v>9.6484155</x:v>
      </x:c>
      <x:c r="U525" s="35" t="n">
        <x:v>-13.5537453</x:v>
      </x:c>
      <x:c r="V525" s="33" t="str">
        <x:v>https://www.openstreetmap.org/node/5511948499</x:v>
      </x:c>
      <x:c r="W525" s="33" t="str">
        <x:v>node/5511948499</x:v>
      </x:c>
      <x:c r="X525" s="33" t="str">
        <x:v>review_required</x:v>
      </x:c>
      <x:c r="Y525" s="33" t="str">
        <x:v>polyclinique la grace|conakry a verifier</x:v>
      </x:c>
      <x:c r="Z525" s="33" t="str">
        <x:v>224628578548</x:v>
      </x:c>
      <x:c r="AA525" s="33" t="str"/>
    </x:row>
    <x:row r="526">
      <x:c r="A526" s="30" t="str">
        <x:v>À vérifier</x:v>
      </x:c>
      <x:c r="B526" s="30" t="str"/>
      <x:c r="C526" s="31"/>
      <x:c r="D526" s="30" t="str">
        <x:v>Non vérifié</x:v>
      </x:c>
      <x:c r="E526" s="30" t="str"/>
      <x:c r="F526" s="30" t="str"/>
      <x:c r="G526" s="32" t="str"/>
      <x:c r="H526" s="33" t="str">
        <x:f>IF(I526&lt;&gt;"","Doublon possible","")</x:f>
      </x:c>
      <x:c r="I526" s="33" t="str">
        <x:f>IF(COUNTIFS($Y$9:$Y$678,Y526)&gt;1,"Nom + ville",IF(AND(Z526&lt;&gt;"",COUNTIFS($Z$9:$Z$678,Z526)&gt;1),"Téléphone",IF(AND(AA526&lt;&gt;"",COUNTIFS($AA$9:$AA$678,AA526)&gt;1),"Site web","")))</x:f>
      </x:c>
      <x:c r="J526" s="33" t="str">
        <x:v>Prince Pharma</x:v>
      </x:c>
      <x:c r="K526" s="33" t="str">
        <x:v>Santé</x:v>
      </x:c>
      <x:c r="L526" s="33" t="str">
        <x:v>Pharmacies</x:v>
      </x:c>
      <x:c r="M526" s="33" t="str">
        <x:v>Conakry (à vérifier)</x:v>
      </x:c>
      <x:c r="N526" s="33" t="str"/>
      <x:c r="O526" s="33" t="str"/>
      <x:c r="P526" s="33" t="str">
        <x:v>+224620521794</x:v>
      </x:c>
      <x:c r="Q526" s="33" t="str">
        <x:v>princepharma.cky@gmail.com</x:v>
      </x:c>
      <x:c r="R526" s="33" t="str"/>
      <x:c r="S526" s="33" t="str"/>
      <x:c r="T526" s="35" t="n">
        <x:v>9.5379248</x:v>
      </x:c>
      <x:c r="U526" s="35" t="n">
        <x:v>-13.6753073</x:v>
      </x:c>
      <x:c r="V526" s="33" t="str">
        <x:v>https://www.openstreetmap.org/node/5739437516</x:v>
      </x:c>
      <x:c r="W526" s="33" t="str">
        <x:v>node/5739437516</x:v>
      </x:c>
      <x:c r="X526" s="33" t="str">
        <x:v>review_required</x:v>
      </x:c>
      <x:c r="Y526" s="33" t="str">
        <x:v>prince pharma|conakry a verifier</x:v>
      </x:c>
      <x:c r="Z526" s="33" t="str">
        <x:v>224620521794</x:v>
      </x:c>
      <x:c r="AA526" s="33" t="str"/>
    </x:row>
    <x:row r="527">
      <x:c r="A527" s="30" t="str">
        <x:v>À vérifier</x:v>
      </x:c>
      <x:c r="B527" s="30" t="str"/>
      <x:c r="C527" s="31"/>
      <x:c r="D527" s="30" t="str">
        <x:v>Non vérifié</x:v>
      </x:c>
      <x:c r="E527" s="30" t="str"/>
      <x:c r="F527" s="30" t="str"/>
      <x:c r="G527" s="32" t="str"/>
      <x:c r="H527" s="33" t="str">
        <x:f>IF(I527&lt;&gt;"","Doublon possible","")</x:f>
      </x:c>
      <x:c r="I527" s="33" t="str">
        <x:f>IF(COUNTIFS($Y$9:$Y$678,Y527)&gt;1,"Nom + ville",IF(AND(Z527&lt;&gt;"",COUNTIFS($Z$9:$Z$678,Z527)&gt;1),"Téléphone",IF(AND(AA527&lt;&gt;"",COUNTIFS($AA$9:$AA$678,AA527)&gt;1),"Site web","")))</x:f>
      </x:c>
      <x:c r="J527" s="33" t="str">
        <x:v>Service National de la Médecine de Travail</x:v>
      </x:c>
      <x:c r="K527" s="33" t="str">
        <x:v>Santé</x:v>
      </x:c>
      <x:c r="L527" s="33" t="str">
        <x:v>Cliniques</x:v>
      </x:c>
      <x:c r="M527" s="33" t="str">
        <x:v>Conakry (à vérifier)</x:v>
      </x:c>
      <x:c r="N527" s="33" t="str"/>
      <x:c r="O527" s="33" t="str"/>
      <x:c r="P527" s="33" t="str"/>
      <x:c r="Q527" s="33" t="str"/>
      <x:c r="R527" s="33" t="str">
        <x:v>www.snmt-guinee.com</x:v>
      </x:c>
      <x:c r="S527" s="33" t="str"/>
      <x:c r="T527" s="35" t="n">
        <x:v>9.5561372</x:v>
      </x:c>
      <x:c r="U527" s="35" t="n">
        <x:v>-13.650116</x:v>
      </x:c>
      <x:c r="V527" s="33" t="str">
        <x:v>https://www.openstreetmap.org/node/6869539677</x:v>
      </x:c>
      <x:c r="W527" s="33" t="str">
        <x:v>node/6869539677</x:v>
      </x:c>
      <x:c r="X527" s="33" t="str">
        <x:v>review_required</x:v>
      </x:c>
      <x:c r="Y527" s="33" t="str">
        <x:v>service national de la medecine de travail|conakry a verifier</x:v>
      </x:c>
      <x:c r="Z527" s="33" t="str"/>
      <x:c r="AA527" s="33" t="str">
        <x:v>snmt-guinee.com</x:v>
      </x:c>
    </x:row>
    <x:row r="528">
      <x:c r="A528" s="30" t="str">
        <x:v>À vérifier</x:v>
      </x:c>
      <x:c r="B528" s="30" t="str"/>
      <x:c r="C528" s="31"/>
      <x:c r="D528" s="30" t="str">
        <x:v>Non vérifié</x:v>
      </x:c>
      <x:c r="E528" s="30" t="str"/>
      <x:c r="F528" s="30" t="str"/>
      <x:c r="G528" s="32" t="str"/>
      <x:c r="H528" s="33" t="str">
        <x:f>IF(I528&lt;&gt;"","Doublon possible","")</x:f>
      </x:c>
      <x:c r="I528" s="33" t="str">
        <x:f>IF(COUNTIFS($Y$9:$Y$678,Y528)&gt;1,"Nom + ville",IF(AND(Z528&lt;&gt;"",COUNTIFS($Z$9:$Z$678,Z528)&gt;1),"Téléphone",IF(AND(AA528&lt;&gt;"",COUNTIFS($AA$9:$AA$678,AA528)&gt;1),"Site web","")))</x:f>
      </x:c>
      <x:c r="J528" s="33" t="str">
        <x:v>Solabgui</x:v>
      </x:c>
      <x:c r="K528" s="33" t="str">
        <x:v>Santé</x:v>
      </x:c>
      <x:c r="L528" s="33" t="str">
        <x:v>Cliniques</x:v>
      </x:c>
      <x:c r="M528" s="33" t="str">
        <x:v>Conakry (à vérifier)</x:v>
      </x:c>
      <x:c r="N528" s="33" t="str"/>
      <x:c r="O528" s="33" t="str"/>
      <x:c r="P528" s="33" t="str">
        <x:v>+22465671141</x:v>
      </x:c>
      <x:c r="Q528" s="33" t="str"/>
      <x:c r="R528" s="33" t="str"/>
      <x:c r="S528" s="33" t="str"/>
      <x:c r="T528" s="35" t="n">
        <x:v>9.6202524</x:v>
      </x:c>
      <x:c r="U528" s="35" t="n">
        <x:v>-13.5838071</x:v>
      </x:c>
      <x:c r="V528" s="33" t="str">
        <x:v>https://www.openstreetmap.org/node/6001599305</x:v>
      </x:c>
      <x:c r="W528" s="33" t="str">
        <x:v>node/6001599305</x:v>
      </x:c>
      <x:c r="X528" s="33" t="str">
        <x:v>review_required</x:v>
      </x:c>
      <x:c r="Y528" s="33" t="str">
        <x:v>solabgui|conakry a verifier</x:v>
      </x:c>
      <x:c r="Z528" s="33" t="str">
        <x:v>22465671141</x:v>
      </x:c>
      <x:c r="AA528" s="33" t="str"/>
    </x:row>
    <x:row r="529">
      <x:c r="A529" s="30" t="str">
        <x:v>À vérifier</x:v>
      </x:c>
      <x:c r="B529" s="30" t="str"/>
      <x:c r="C529" s="31"/>
      <x:c r="D529" s="30" t="str">
        <x:v>Non vérifié</x:v>
      </x:c>
      <x:c r="E529" s="30" t="str"/>
      <x:c r="F529" s="30" t="str"/>
      <x:c r="G529" s="32" t="str"/>
      <x:c r="H529" s="33" t="str">
        <x:f>IF(I529&lt;&gt;"","Doublon possible","")</x:f>
      </x:c>
      <x:c r="I529" s="33" t="str">
        <x:f>IF(COUNTIFS($Y$9:$Y$678,Y529)&gt;1,"Nom + ville",IF(AND(Z529&lt;&gt;"",COUNTIFS($Z$9:$Z$678,Z529)&gt;1),"Téléphone",IF(AND(AA529&lt;&gt;"",COUNTIFS($AA$9:$AA$678,AA529)&gt;1),"Site web","")))</x:f>
      </x:c>
      <x:c r="J529" s="33" t="str">
        <x:v>Union Santé des Populations</x:v>
      </x:c>
      <x:c r="K529" s="33" t="str">
        <x:v>Santé</x:v>
      </x:c>
      <x:c r="L529" s="33" t="str">
        <x:v>Cliniques</x:v>
      </x:c>
      <x:c r="M529" s="33" t="str">
        <x:v>Conakry (à vérifier)</x:v>
      </x:c>
      <x:c r="N529" s="33" t="str"/>
      <x:c r="O529" s="33" t="str"/>
      <x:c r="P529" s="33" t="str">
        <x:v>+224666421090</x:v>
      </x:c>
      <x:c r="Q529" s="33" t="str"/>
      <x:c r="R529" s="33" t="str"/>
      <x:c r="S529" s="33" t="str"/>
      <x:c r="T529" s="35" t="n">
        <x:v>9.544145</x:v>
      </x:c>
      <x:c r="U529" s="35" t="n">
        <x:v>-13.6613622</x:v>
      </x:c>
      <x:c r="V529" s="33" t="str">
        <x:v>https://www.openstreetmap.org/node/5939266992</x:v>
      </x:c>
      <x:c r="W529" s="33" t="str">
        <x:v>node/5939266992</x:v>
      </x:c>
      <x:c r="X529" s="33" t="str">
        <x:v>review_required</x:v>
      </x:c>
      <x:c r="Y529" s="33" t="str">
        <x:v>union sante des populations|conakry a verifier</x:v>
      </x:c>
      <x:c r="Z529" s="33" t="str">
        <x:v>224666421090</x:v>
      </x:c>
      <x:c r="AA529" s="33" t="str"/>
    </x:row>
    <x:row r="530">
      <x:c r="A530" s="30" t="str">
        <x:v>À vérifier</x:v>
      </x:c>
      <x:c r="B530" s="30" t="str"/>
      <x:c r="C530" s="31"/>
      <x:c r="D530" s="30" t="str">
        <x:v>Non vérifié</x:v>
      </x:c>
      <x:c r="E530" s="30" t="str"/>
      <x:c r="F530" s="30" t="str"/>
      <x:c r="G530" s="32" t="str"/>
      <x:c r="H530" s="33" t="str">
        <x:f>IF(I530&lt;&gt;"","Doublon possible","")</x:f>
      </x:c>
      <x:c r="I530" s="33" t="str">
        <x:f>IF(COUNTIFS($Y$9:$Y$678,Y530)&gt;1,"Nom + ville",IF(AND(Z530&lt;&gt;"",COUNTIFS($Z$9:$Z$678,Z530)&gt;1),"Téléphone",IF(AND(AA530&lt;&gt;"",COUNTIFS($AA$9:$AA$678,AA530)&gt;1),"Site web","")))</x:f>
      </x:c>
      <x:c r="J530" s="33" t="str">
        <x:v>Agence Finadev Matoto</x:v>
      </x:c>
      <x:c r="K530" s="33" t="str">
        <x:v>Services professionnels</x:v>
      </x:c>
      <x:c r="L530" s="33" t="str">
        <x:v>Consultants</x:v>
      </x:c>
      <x:c r="M530" s="33" t="str">
        <x:v>Conakry (à vérifier)</x:v>
      </x:c>
      <x:c r="N530" s="33" t="str"/>
      <x:c r="O530" s="33" t="str"/>
      <x:c r="P530" s="33" t="str">
        <x:v>+224669393672</x:v>
      </x:c>
      <x:c r="Q530" s="33" t="str"/>
      <x:c r="R530" s="33" t="str">
        <x:v>https://www.finadev-groupe.com/</x:v>
      </x:c>
      <x:c r="S530" s="33" t="str"/>
      <x:c r="T530" s="35" t="n">
        <x:v>9.6052581</x:v>
      </x:c>
      <x:c r="U530" s="35" t="n">
        <x:v>-13.6005372</x:v>
      </x:c>
      <x:c r="V530" s="33" t="str">
        <x:v>https://www.openstreetmap.org/node/6005752964</x:v>
      </x:c>
      <x:c r="W530" s="33" t="str">
        <x:v>node/6005752964</x:v>
      </x:c>
      <x:c r="X530" s="33" t="str">
        <x:v>review_required</x:v>
      </x:c>
      <x:c r="Y530" s="33" t="str">
        <x:v>agence finadev matoto|conakry a verifier</x:v>
      </x:c>
      <x:c r="Z530" s="33" t="str">
        <x:v>224669393672</x:v>
      </x:c>
      <x:c r="AA530" s="33" t="str">
        <x:v>finadev-groupe.com</x:v>
      </x:c>
    </x:row>
    <x:row r="531">
      <x:c r="A531" s="30" t="str">
        <x:v>À vérifier</x:v>
      </x:c>
      <x:c r="B531" s="30" t="str"/>
      <x:c r="C531" s="31"/>
      <x:c r="D531" s="30" t="str">
        <x:v>Non vérifié</x:v>
      </x:c>
      <x:c r="E531" s="30" t="str"/>
      <x:c r="F531" s="30" t="str"/>
      <x:c r="G531" s="32" t="str"/>
      <x:c r="H531" s="33" t="str">
        <x:f>IF(I531&lt;&gt;"","Doublon possible","")</x:f>
      </x:c>
      <x:c r="I531" s="33" t="str">
        <x:f>IF(COUNTIFS($Y$9:$Y$678,Y531)&gt;1,"Nom + ville",IF(AND(Z531&lt;&gt;"",COUNTIFS($Z$9:$Z$678,Z531)&gt;1),"Téléphone",IF(AND(AA531&lt;&gt;"",COUNTIFS($AA$9:$AA$678,AA531)&gt;1),"Site web","")))</x:f>
      </x:c>
      <x:c r="J531" s="33" t="str">
        <x:v>Agence PMU Guinée</x:v>
      </x:c>
      <x:c r="K531" s="33" t="str">
        <x:v>Services professionnels</x:v>
      </x:c>
      <x:c r="L531" s="33" t="str">
        <x:v>Consultants</x:v>
      </x:c>
      <x:c r="M531" s="33" t="str">
        <x:v>Conakry (à vérifier)</x:v>
      </x:c>
      <x:c r="N531" s="33" t="str"/>
      <x:c r="O531" s="33" t="str"/>
      <x:c r="P531" s="33" t="str"/>
      <x:c r="Q531" s="33" t="str"/>
      <x:c r="R531" s="33" t="str">
        <x:v>www.programmes.pmuguinee.com</x:v>
      </x:c>
      <x:c r="S531" s="33" t="str"/>
      <x:c r="T531" s="35" t="n">
        <x:v>9.6078642</x:v>
      </x:c>
      <x:c r="U531" s="35" t="n">
        <x:v>-13.5984363</x:v>
      </x:c>
      <x:c r="V531" s="33" t="str">
        <x:v>https://www.openstreetmap.org/node/6005759070</x:v>
      </x:c>
      <x:c r="W531" s="33" t="str">
        <x:v>node/6005759070</x:v>
      </x:c>
      <x:c r="X531" s="33" t="str">
        <x:v>review_required</x:v>
      </x:c>
      <x:c r="Y531" s="33" t="str">
        <x:v>agence pmu guinee|conakry a verifier</x:v>
      </x:c>
      <x:c r="Z531" s="33" t="str"/>
      <x:c r="AA531" s="33" t="str">
        <x:v>programmes.pmuguinee.com</x:v>
      </x:c>
    </x:row>
    <x:row r="532">
      <x:c r="A532" s="30" t="str">
        <x:v>À vérifier</x:v>
      </x:c>
      <x:c r="B532" s="30" t="str"/>
      <x:c r="C532" s="31"/>
      <x:c r="D532" s="30" t="str">
        <x:v>Non vérifié</x:v>
      </x:c>
      <x:c r="E532" s="30" t="str"/>
      <x:c r="F532" s="30" t="str"/>
      <x:c r="G532" s="32" t="str"/>
      <x:c r="H532" s="33" t="str">
        <x:f>IF(I532&lt;&gt;"","Doublon possible","")</x:f>
      </x:c>
      <x:c r="I532" s="33" t="str">
        <x:f>IF(COUNTIFS($Y$9:$Y$678,Y532)&gt;1,"Nom + ville",IF(AND(Z532&lt;&gt;"",COUNTIFS($Z$9:$Z$678,Z532)&gt;1),"Téléphone",IF(AND(AA532&lt;&gt;"",COUNTIFS($AA$9:$AA$678,AA532)&gt;1),"Site web","")))</x:f>
      </x:c>
      <x:c r="J532" s="33" t="str">
        <x:v>Agence Ugar Activa</x:v>
      </x:c>
      <x:c r="K532" s="33" t="str">
        <x:v>Services professionnels</x:v>
      </x:c>
      <x:c r="L532" s="33" t="str">
        <x:v>Consultants</x:v>
      </x:c>
      <x:c r="M532" s="33" t="str">
        <x:v>Conakry (à vérifier)</x:v>
      </x:c>
      <x:c r="N532" s="33" t="str"/>
      <x:c r="O532" s="33" t="str"/>
      <x:c r="P532" s="33" t="str">
        <x:v>+224622226633</x:v>
      </x:c>
      <x:c r="Q532" s="33" t="str">
        <x:v>contact@ugar-activa.com</x:v>
      </x:c>
      <x:c r="R532" s="33" t="str">
        <x:v>www.ugar-activa.com</x:v>
      </x:c>
      <x:c r="S532" s="33" t="str"/>
      <x:c r="T532" s="35" t="n">
        <x:v>9.7142322</x:v>
      </x:c>
      <x:c r="U532" s="35" t="n">
        <x:v>-13.5030426</x:v>
      </x:c>
      <x:c r="V532" s="33" t="str">
        <x:v>https://www.openstreetmap.org/node/5809042770</x:v>
      </x:c>
      <x:c r="W532" s="33" t="str">
        <x:v>node/5809042770</x:v>
      </x:c>
      <x:c r="X532" s="33" t="str">
        <x:v>review_required</x:v>
      </x:c>
      <x:c r="Y532" s="33" t="str">
        <x:v>agence ugar activa|conakry a verifier</x:v>
      </x:c>
      <x:c r="Z532" s="33" t="str">
        <x:v>224622226633</x:v>
      </x:c>
      <x:c r="AA532" s="33" t="str">
        <x:v>ugar-activa.com</x:v>
      </x:c>
    </x:row>
    <x:row r="533">
      <x:c r="A533" s="30" t="str">
        <x:v>À vérifier</x:v>
      </x:c>
      <x:c r="B533" s="30" t="str"/>
      <x:c r="C533" s="31"/>
      <x:c r="D533" s="30" t="str">
        <x:v>Non vérifié</x:v>
      </x:c>
      <x:c r="E533" s="30" t="str"/>
      <x:c r="F533" s="30" t="str"/>
      <x:c r="G533" s="32" t="str"/>
      <x:c r="H533" s="33" t="str">
        <x:f>IF(I533&lt;&gt;"","Doublon possible","")</x:f>
      </x:c>
      <x:c r="I533" s="33" t="str">
        <x:f>IF(COUNTIFS($Y$9:$Y$678,Y533)&gt;1,"Nom + ville",IF(AND(Z533&lt;&gt;"",COUNTIFS($Z$9:$Z$678,Z533)&gt;1),"Téléphone",IF(AND(AA533&lt;&gt;"",COUNTIFS($AA$9:$AA$678,AA533)&gt;1),"Site web","")))</x:f>
      </x:c>
      <x:c r="J533" s="33" t="str">
        <x:v>Alitel</x:v>
      </x:c>
      <x:c r="K533" s="33" t="str">
        <x:v>Services professionnels</x:v>
      </x:c>
      <x:c r="L533" s="33" t="str">
        <x:v>Consultants</x:v>
      </x:c>
      <x:c r="M533" s="33" t="str">
        <x:v>Conakry (à vérifier)</x:v>
      </x:c>
      <x:c r="N533" s="33" t="str"/>
      <x:c r="O533" s="33" t="str"/>
      <x:c r="P533" s="33" t="str">
        <x:v>622377777</x:v>
      </x:c>
      <x:c r="Q533" s="33" t="str"/>
      <x:c r="R533" s="33" t="str"/>
      <x:c r="S533" s="33" t="str"/>
      <x:c r="T533" s="35" t="n">
        <x:v>9.5124352</x:v>
      </x:c>
      <x:c r="U533" s="35" t="n">
        <x:v>-13.7146163</x:v>
      </x:c>
      <x:c r="V533" s="33" t="str">
        <x:v>https://www.openstreetmap.org/node/10053829964</x:v>
      </x:c>
      <x:c r="W533" s="33" t="str">
        <x:v>node/10053829964</x:v>
      </x:c>
      <x:c r="X533" s="33" t="str">
        <x:v>review_required</x:v>
      </x:c>
      <x:c r="Y533" s="33" t="str">
        <x:v>alitel|conakry a verifier</x:v>
      </x:c>
      <x:c r="Z533" s="33" t="str">
        <x:v>224622377777</x:v>
      </x:c>
      <x:c r="AA533" s="33" t="str"/>
    </x:row>
    <x:row r="534">
      <x:c r="A534" s="30" t="str">
        <x:v>À vérifier</x:v>
      </x:c>
      <x:c r="B534" s="30" t="str"/>
      <x:c r="C534" s="31"/>
      <x:c r="D534" s="30" t="str">
        <x:v>Non vérifié</x:v>
      </x:c>
      <x:c r="E534" s="30" t="str"/>
      <x:c r="F534" s="30" t="str"/>
      <x:c r="G534" s="32" t="str"/>
      <x:c r="H534" s="33" t="str">
        <x:f>IF(I534&lt;&gt;"","Doublon possible","")</x:f>
      </x:c>
      <x:c r="I534" s="33" t="str">
        <x:f>IF(COUNTIFS($Y$9:$Y$678,Y534)&gt;1,"Nom + ville",IF(AND(Z534&lt;&gt;"",COUNTIFS($Z$9:$Z$678,Z534)&gt;1),"Téléphone",IF(AND(AA534&lt;&gt;"",COUNTIFS($AA$9:$AA$678,AA534)&gt;1),"Site web","")))</x:f>
      </x:c>
      <x:c r="J534" s="33" t="str">
        <x:v>Ambassade de Côte d'Ivoire</x:v>
      </x:c>
      <x:c r="K534" s="33" t="str">
        <x:v>Services professionnels</x:v>
      </x:c>
      <x:c r="L534" s="33" t="str">
        <x:v>Consultants</x:v>
      </x:c>
      <x:c r="M534" s="33" t="str">
        <x:v>Conakry (à vérifier)</x:v>
      </x:c>
      <x:c r="N534" s="33" t="str"/>
      <x:c r="O534" s="33" t="str">
        <x:v>Boulevard du Commerce</x:v>
      </x:c>
      <x:c r="P534" s="33" t="str">
        <x:v>+224 656 34 34 34</x:v>
      </x:c>
      <x:c r="Q534" s="33" t="str"/>
      <x:c r="R534" s="33" t="str">
        <x:v>https://www.guinee.diplomatie.gouv.ci</x:v>
      </x:c>
      <x:c r="S534" s="33" t="str"/>
      <x:c r="T534" s="35" t="n">
        <x:v>9.5084737</x:v>
      </x:c>
      <x:c r="U534" s="35" t="n">
        <x:v>-13.7154055</x:v>
      </x:c>
      <x:c r="V534" s="33" t="str">
        <x:v>https://www.openstreetmap.org/way/549630555</x:v>
      </x:c>
      <x:c r="W534" s="33" t="str">
        <x:v>way/549630555</x:v>
      </x:c>
      <x:c r="X534" s="33" t="str">
        <x:v>review_required</x:v>
      </x:c>
      <x:c r="Y534" s="33" t="str">
        <x:v>ambassade de cote d ivoire|conakry a verifier</x:v>
      </x:c>
      <x:c r="Z534" s="33" t="str">
        <x:v>224656343434</x:v>
      </x:c>
      <x:c r="AA534" s="33" t="str">
        <x:v>guinee.diplomatie.gouv.ci</x:v>
      </x:c>
    </x:row>
    <x:row r="535">
      <x:c r="A535" s="30" t="str">
        <x:v>À vérifier</x:v>
      </x:c>
      <x:c r="B535" s="30" t="str"/>
      <x:c r="C535" s="31"/>
      <x:c r="D535" s="30" t="str">
        <x:v>Non vérifié</x:v>
      </x:c>
      <x:c r="E535" s="30" t="str"/>
      <x:c r="F535" s="30" t="str"/>
      <x:c r="G535" s="32" t="str"/>
      <x:c r="H535" s="33" t="str">
        <x:f>IF(I535&lt;&gt;"","Doublon possible","")</x:f>
      </x:c>
      <x:c r="I535" s="33" t="str">
        <x:f>IF(COUNTIFS($Y$9:$Y$678,Y535)&gt;1,"Nom + ville",IF(AND(Z535&lt;&gt;"",COUNTIFS($Z$9:$Z$678,Z535)&gt;1),"Téléphone",IF(AND(AA535&lt;&gt;"",COUNTIFS($AA$9:$AA$678,AA535)&gt;1),"Site web","")))</x:f>
      </x:c>
      <x:c r="J535" s="33" t="str">
        <x:v>Ambassade de France</x:v>
      </x:c>
      <x:c r="K535" s="33" t="str">
        <x:v>Services professionnels</x:v>
      </x:c>
      <x:c r="L535" s="33" t="str">
        <x:v>Consultants</x:v>
      </x:c>
      <x:c r="M535" s="33" t="str">
        <x:v>Conakry (à vérifier)</x:v>
      </x:c>
      <x:c r="N535" s="33" t="str"/>
      <x:c r="O535" s="33" t="str">
        <x:v>Avenue du Commerce</x:v>
      </x:c>
      <x:c r="P535" s="33" t="str">
        <x:v>00224 621000010</x:v>
      </x:c>
      <x:c r="Q535" s="33" t="str"/>
      <x:c r="R535" s="33" t="str">
        <x:v>https://gn.ambafrance.org/</x:v>
      </x:c>
      <x:c r="S535" s="33" t="str"/>
      <x:c r="T535" s="35" t="n">
        <x:v>9.5116714</x:v>
      </x:c>
      <x:c r="U535" s="35" t="n">
        <x:v>-13.7152105</x:v>
      </x:c>
      <x:c r="V535" s="33" t="str">
        <x:v>https://www.openstreetmap.org/way/532274797</x:v>
      </x:c>
      <x:c r="W535" s="33" t="str">
        <x:v>way/532274797</x:v>
      </x:c>
      <x:c r="X535" s="33" t="str">
        <x:v>review_required</x:v>
      </x:c>
      <x:c r="Y535" s="33" t="str">
        <x:v>ambassade de france|conakry a verifier</x:v>
      </x:c>
      <x:c r="Z535" s="33" t="str">
        <x:v>224621000010</x:v>
      </x:c>
      <x:c r="AA535" s="33" t="str">
        <x:v>gn.ambafrance.org</x:v>
      </x:c>
    </x:row>
    <x:row r="536">
      <x:c r="A536" s="30" t="str">
        <x:v>À vérifier</x:v>
      </x:c>
      <x:c r="B536" s="30" t="str"/>
      <x:c r="C536" s="31"/>
      <x:c r="D536" s="30" t="str">
        <x:v>Non vérifié</x:v>
      </x:c>
      <x:c r="E536" s="30" t="str"/>
      <x:c r="F536" s="30" t="str"/>
      <x:c r="G536" s="32" t="str"/>
      <x:c r="H536" s="33" t="str">
        <x:f>IF(I536&lt;&gt;"","Doublon possible","")</x:f>
      </x:c>
      <x:c r="I536" s="33" t="str">
        <x:f>IF(COUNTIFS($Y$9:$Y$678,Y536)&gt;1,"Nom + ville",IF(AND(Z536&lt;&gt;"",COUNTIFS($Z$9:$Z$678,Z536)&gt;1),"Téléphone",IF(AND(AA536&lt;&gt;"",COUNTIFS($AA$9:$AA$678,AA536)&gt;1),"Site web","")))</x:f>
      </x:c>
      <x:c r="J536" s="33" t="str">
        <x:v>Ambassade de l'Afrique du Sud</x:v>
      </x:c>
      <x:c r="K536" s="33" t="str">
        <x:v>Services professionnels</x:v>
      </x:c>
      <x:c r="L536" s="33" t="str">
        <x:v>Consultants</x:v>
      </x:c>
      <x:c r="M536" s="33" t="str">
        <x:v>Conakry</x:v>
      </x:c>
      <x:c r="N536" s="33" t="str">
        <x:v>Mossoudougou</x:v>
      </x:c>
      <x:c r="O536" s="33" t="str">
        <x:v>Corniche Sud</x:v>
      </x:c>
      <x:c r="P536" s="33" t="str">
        <x:v>+224-30-664904771</x:v>
      </x:c>
      <x:c r="Q536" s="33" t="str">
        <x:v>conakrymission@dirco.gov.za</x:v>
      </x:c>
      <x:c r="R536" s="33" t="str">
        <x:v>https://www.dirco.gov.za/foreign/sa_abroad/sag.htm</x:v>
      </x:c>
      <x:c r="S536" s="33" t="str"/>
      <x:c r="T536" s="35" t="n">
        <x:v>9.5250968</x:v>
      </x:c>
      <x:c r="U536" s="35" t="n">
        <x:v>-13.6827019</x:v>
      </x:c>
      <x:c r="V536" s="33" t="str">
        <x:v>https://www.openstreetmap.org/way/1031140622</x:v>
      </x:c>
      <x:c r="W536" s="33" t="str">
        <x:v>way/1031140622</x:v>
      </x:c>
      <x:c r="X536" s="33" t="str">
        <x:v>review_required</x:v>
      </x:c>
      <x:c r="Y536" s="33" t="str">
        <x:v>ambassade de l afrique du sud|conakry</x:v>
      </x:c>
      <x:c r="Z536" s="33" t="str">
        <x:v>22430664904771</x:v>
      </x:c>
      <x:c r="AA536" s="33" t="str">
        <x:v>dirco.gov.za/foreign/sa_abroad/sag.htm</x:v>
      </x:c>
    </x:row>
    <x:row r="537">
      <x:c r="A537" s="30" t="str">
        <x:v>À vérifier</x:v>
      </x:c>
      <x:c r="B537" s="30" t="str"/>
      <x:c r="C537" s="31"/>
      <x:c r="D537" s="30" t="str">
        <x:v>Non vérifié</x:v>
      </x:c>
      <x:c r="E537" s="30" t="str"/>
      <x:c r="F537" s="30" t="str"/>
      <x:c r="G537" s="32" t="str"/>
      <x:c r="H537" s="33" t="str">
        <x:f>IF(I537&lt;&gt;"","Doublon possible","")</x:f>
      </x:c>
      <x:c r="I537" s="33" t="str">
        <x:f>IF(COUNTIFS($Y$9:$Y$678,Y537)&gt;1,"Nom + ville",IF(AND(Z537&lt;&gt;"",COUNTIFS($Z$9:$Z$678,Z537)&gt;1),"Téléphone",IF(AND(AA537&lt;&gt;"",COUNTIFS($AA$9:$AA$678,AA537)&gt;1),"Site web","")))</x:f>
      </x:c>
      <x:c r="J537" s="33" t="str">
        <x:v>Ambassade de la Guinée Bissau</x:v>
      </x:c>
      <x:c r="K537" s="33" t="str">
        <x:v>Services professionnels</x:v>
      </x:c>
      <x:c r="L537" s="33" t="str">
        <x:v>Consultants</x:v>
      </x:c>
      <x:c r="M537" s="33" t="str">
        <x:v>Conakry (à vérifier)</x:v>
      </x:c>
      <x:c r="N537" s="33" t="str"/>
      <x:c r="O537" s="33" t="str"/>
      <x:c r="P537" s="33" t="str">
        <x:v>+22430412136</x:v>
      </x:c>
      <x:c r="Q537" s="33" t="str"/>
      <x:c r="R537" s="33" t="str"/>
      <x:c r="S537" s="33" t="str"/>
      <x:c r="T537" s="35" t="n">
        <x:v>9.5618326</x:v>
      </x:c>
      <x:c r="U537" s="35" t="n">
        <x:v>-13.6637658</x:v>
      </x:c>
      <x:c r="V537" s="33" t="str">
        <x:v>https://www.openstreetmap.org/node/5648644857</x:v>
      </x:c>
      <x:c r="W537" s="33" t="str">
        <x:v>node/5648644857</x:v>
      </x:c>
      <x:c r="X537" s="33" t="str">
        <x:v>review_required</x:v>
      </x:c>
      <x:c r="Y537" s="33" t="str">
        <x:v>ambassade de la guinee bissau|conakry a verifier</x:v>
      </x:c>
      <x:c r="Z537" s="33" t="str">
        <x:v>22430412136</x:v>
      </x:c>
      <x:c r="AA537" s="33" t="str"/>
    </x:row>
    <x:row r="538">
      <x:c r="A538" s="30" t="str">
        <x:v>À vérifier</x:v>
      </x:c>
      <x:c r="B538" s="30" t="str"/>
      <x:c r="C538" s="31"/>
      <x:c r="D538" s="30" t="str">
        <x:v>Non vérifié</x:v>
      </x:c>
      <x:c r="E538" s="30" t="str"/>
      <x:c r="F538" s="30" t="str"/>
      <x:c r="G538" s="32" t="str"/>
      <x:c r="H538" s="33" t="str">
        <x:f>IF(I538&lt;&gt;"","Doublon possible","")</x:f>
      </x:c>
      <x:c r="I538" s="33" t="str">
        <x:f>IF(COUNTIFS($Y$9:$Y$678,Y538)&gt;1,"Nom + ville",IF(AND(Z538&lt;&gt;"",COUNTIFS($Z$9:$Z$678,Z538)&gt;1),"Téléphone",IF(AND(AA538&lt;&gt;"",COUNTIFS($AA$9:$AA$678,AA538)&gt;1),"Site web","")))</x:f>
      </x:c>
      <x:c r="J538" s="33" t="str">
        <x:v>Ambassade de la République Fédérale d'Allemagne</x:v>
      </x:c>
      <x:c r="K538" s="33" t="str">
        <x:v>Services professionnels</x:v>
      </x:c>
      <x:c r="L538" s="33" t="str">
        <x:v>Consultants</x:v>
      </x:c>
      <x:c r="M538" s="33" t="str">
        <x:v>Conakry</x:v>
      </x:c>
      <x:c r="N538" s="33" t="str">
        <x:v>Kaloum</x:v>
      </x:c>
      <x:c r="O538" s="33" t="str"/>
      <x:c r="P538" s="33" t="str">
        <x:v>+224 621 221706</x:v>
      </x:c>
      <x:c r="Q538" s="33" t="str"/>
      <x:c r="R538" s="33" t="str">
        <x:v>https://conakry.diplo.de/</x:v>
      </x:c>
      <x:c r="S538" s="33" t="str"/>
      <x:c r="T538" s="35" t="n">
        <x:v>9.5122736</x:v>
      </x:c>
      <x:c r="U538" s="35" t="n">
        <x:v>-13.7160043</x:v>
      </x:c>
      <x:c r="V538" s="33" t="str">
        <x:v>https://www.openstreetmap.org/node/3627434279</x:v>
      </x:c>
      <x:c r="W538" s="33" t="str">
        <x:v>node/3627434279</x:v>
      </x:c>
      <x:c r="X538" s="33" t="str">
        <x:v>review_required</x:v>
      </x:c>
      <x:c r="Y538" s="33" t="str">
        <x:v>ambassade de la republique federale d allemagne|conakry</x:v>
      </x:c>
      <x:c r="Z538" s="33" t="str">
        <x:v>224621221706</x:v>
      </x:c>
      <x:c r="AA538" s="33" t="str">
        <x:v>conakry.diplo.de</x:v>
      </x:c>
    </x:row>
    <x:row r="539">
      <x:c r="A539" s="30" t="str">
        <x:v>À vérifier</x:v>
      </x:c>
      <x:c r="B539" s="30" t="str"/>
      <x:c r="C539" s="31"/>
      <x:c r="D539" s="30" t="str">
        <x:v>Non vérifié</x:v>
      </x:c>
      <x:c r="E539" s="30" t="str"/>
      <x:c r="F539" s="30" t="str"/>
      <x:c r="G539" s="32" t="str"/>
      <x:c r="H539" s="33" t="str">
        <x:f>IF(I539&lt;&gt;"","Doublon possible","")</x:f>
      </x:c>
      <x:c r="I539" s="33" t="str">
        <x:f>IF(COUNTIFS($Y$9:$Y$678,Y539)&gt;1,"Nom + ville",IF(AND(Z539&lt;&gt;"",COUNTIFS($Z$9:$Z$678,Z539)&gt;1),"Téléphone",IF(AND(AA539&lt;&gt;"",COUNTIFS($AA$9:$AA$678,AA539)&gt;1),"Site web","")))</x:f>
      </x:c>
      <x:c r="J539" s="33" t="str">
        <x:v>Ambassade de Russie</x:v>
      </x:c>
      <x:c r="K539" s="33" t="str">
        <x:v>Services professionnels</x:v>
      </x:c>
      <x:c r="L539" s="33" t="str">
        <x:v>Consultants</x:v>
      </x:c>
      <x:c r="M539" s="33" t="str">
        <x:v>Conakry (à vérifier)</x:v>
      </x:c>
      <x:c r="N539" s="33" t="str"/>
      <x:c r="O539" s="33" t="str">
        <x:v>Corniche Sud</x:v>
      </x:c>
      <x:c r="P539" s="33" t="str">
        <x:v>+224 627 27 32 55</x:v>
      </x:c>
      <x:c r="Q539" s="33" t="str"/>
      <x:c r="R539" s="33" t="str">
        <x:v>https://guinea.mid.ru</x:v>
      </x:c>
      <x:c r="S539" s="33" t="str"/>
      <x:c r="T539" s="35" t="n">
        <x:v>9.5532954</x:v>
      </x:c>
      <x:c r="U539" s="35" t="n">
        <x:v>-13.6442989</x:v>
      </x:c>
      <x:c r="V539" s="33" t="str">
        <x:v>https://www.openstreetmap.org/node/4960204422</x:v>
      </x:c>
      <x:c r="W539" s="33" t="str">
        <x:v>node/4960204422</x:v>
      </x:c>
      <x:c r="X539" s="33" t="str">
        <x:v>review_required</x:v>
      </x:c>
      <x:c r="Y539" s="33" t="str">
        <x:v>ambassade de russie|conakry a verifier</x:v>
      </x:c>
      <x:c r="Z539" s="33" t="str">
        <x:v>224627273255</x:v>
      </x:c>
      <x:c r="AA539" s="33" t="str">
        <x:v>guinea.mid.ru</x:v>
      </x:c>
    </x:row>
    <x:row r="540">
      <x:c r="A540" s="30" t="str">
        <x:v>À vérifier</x:v>
      </x:c>
      <x:c r="B540" s="30" t="str"/>
      <x:c r="C540" s="31"/>
      <x:c r="D540" s="30" t="str">
        <x:v>Non vérifié</x:v>
      </x:c>
      <x:c r="E540" s="30" t="str"/>
      <x:c r="F540" s="30" t="str"/>
      <x:c r="G540" s="32" t="str"/>
      <x:c r="H540" s="33" t="str">
        <x:f>IF(I540&lt;&gt;"","Doublon possible","")</x:f>
      </x:c>
      <x:c r="I540" s="33" t="str">
        <x:f>IF(COUNTIFS($Y$9:$Y$678,Y540)&gt;1,"Nom + ville",IF(AND(Z540&lt;&gt;"",COUNTIFS($Z$9:$Z$678,Z540)&gt;1),"Téléphone",IF(AND(AA540&lt;&gt;"",COUNTIFS($AA$9:$AA$678,AA540)&gt;1),"Site web","")))</x:f>
      </x:c>
      <x:c r="J540" s="33" t="str">
        <x:v>Ambassade de Sierra Leone</x:v>
      </x:c>
      <x:c r="K540" s="33" t="str">
        <x:v>Services professionnels</x:v>
      </x:c>
      <x:c r="L540" s="33" t="str">
        <x:v>Consultants</x:v>
      </x:c>
      <x:c r="M540" s="33" t="str">
        <x:v>Conakry</x:v>
      </x:c>
      <x:c r="N540" s="33" t="str"/>
      <x:c r="O540" s="33" t="str">
        <x:v>Quartier Kaporo</x:v>
      </x:c>
      <x:c r="P540" s="33" t="str">
        <x:v>+224 78 552 150</x:v>
      </x:c>
      <x:c r="Q540" s="33" t="str">
        <x:v>slembassyconakry2012@hotmail.com</x:v>
      </x:c>
      <x:c r="R540" s="33" t="str"/>
      <x:c r="S540" s="33" t="str"/>
      <x:c r="T540" s="35" t="n">
        <x:v>9.6070585</x:v>
      </x:c>
      <x:c r="U540" s="35" t="n">
        <x:v>-13.6433967</x:v>
      </x:c>
      <x:c r="V540" s="33" t="str">
        <x:v>https://www.openstreetmap.org/node/6354811585</x:v>
      </x:c>
      <x:c r="W540" s="33" t="str">
        <x:v>node/6354811585</x:v>
      </x:c>
      <x:c r="X540" s="33" t="str">
        <x:v>review_required</x:v>
      </x:c>
      <x:c r="Y540" s="33" t="str">
        <x:v>ambassade de sierra leone|conakry</x:v>
      </x:c>
      <x:c r="Z540" s="33" t="str">
        <x:v>22478552150</x:v>
      </x:c>
      <x:c r="AA540" s="33" t="str"/>
    </x:row>
    <x:row r="541">
      <x:c r="A541" s="30" t="str">
        <x:v>À vérifier</x:v>
      </x:c>
      <x:c r="B541" s="30" t="str"/>
      <x:c r="C541" s="31"/>
      <x:c r="D541" s="30" t="str">
        <x:v>Non vérifié</x:v>
      </x:c>
      <x:c r="E541" s="30" t="str"/>
      <x:c r="F541" s="30" t="str"/>
      <x:c r="G541" s="32" t="str"/>
      <x:c r="H541" s="33" t="str">
        <x:f>IF(I541&lt;&gt;"","Doublon possible","")</x:f>
      </x:c>
      <x:c r="I541" s="33" t="str">
        <x:f>IF(COUNTIFS($Y$9:$Y$678,Y541)&gt;1,"Nom + ville",IF(AND(Z541&lt;&gt;"",COUNTIFS($Z$9:$Z$678,Z541)&gt;1),"Téléphone",IF(AND(AA541&lt;&gt;"",COUNTIFS($AA$9:$AA$678,AA541)&gt;1),"Site web","")))</x:f>
      </x:c>
      <x:c r="J541" s="33" t="str">
        <x:v>Ambassade de Türkiye</x:v>
      </x:c>
      <x:c r="K541" s="33" t="str">
        <x:v>Services professionnels</x:v>
      </x:c>
      <x:c r="L541" s="33" t="str">
        <x:v>Consultants</x:v>
      </x:c>
      <x:c r="M541" s="33" t="str">
        <x:v>Conakry (à vérifier)</x:v>
      </x:c>
      <x:c r="N541" s="33" t="str"/>
      <x:c r="O541" s="33" t="str"/>
      <x:c r="P541" s="33" t="str">
        <x:v>+224 621 63 05 05</x:v>
      </x:c>
      <x:c r="Q541" s="33" t="str">
        <x:v>ambassade.conakry@mfa.gov.tr</x:v>
      </x:c>
      <x:c r="R541" s="33" t="str">
        <x:v>https://konakri-be.mfa.gov.tr/</x:v>
      </x:c>
      <x:c r="S541" s="33" t="str"/>
      <x:c r="T541" s="35" t="n">
        <x:v>9.58323</x:v>
      </x:c>
      <x:c r="U541" s="35" t="n">
        <x:v>-13.664826</x:v>
      </x:c>
      <x:c r="V541" s="33" t="str">
        <x:v>https://www.openstreetmap.org/node/12088885703</x:v>
      </x:c>
      <x:c r="W541" s="33" t="str">
        <x:v>node/12088885703</x:v>
      </x:c>
      <x:c r="X541" s="33" t="str">
        <x:v>review_required</x:v>
      </x:c>
      <x:c r="Y541" s="33" t="str">
        <x:v>ambassade de turkiye|conakry a verifier</x:v>
      </x:c>
      <x:c r="Z541" s="33" t="str">
        <x:v>224621630505</x:v>
      </x:c>
      <x:c r="AA541" s="33" t="str">
        <x:v>konakri-be.mfa.gov.tr</x:v>
      </x:c>
    </x:row>
    <x:row r="542">
      <x:c r="A542" s="30" t="str">
        <x:v>À vérifier</x:v>
      </x:c>
      <x:c r="B542" s="30" t="str"/>
      <x:c r="C542" s="31"/>
      <x:c r="D542" s="30" t="str">
        <x:v>Non vérifié</x:v>
      </x:c>
      <x:c r="E542" s="30" t="str"/>
      <x:c r="F542" s="30" t="str"/>
      <x:c r="G542" s="32" t="str"/>
      <x:c r="H542" s="33" t="str">
        <x:f>IF(I542&lt;&gt;"","Doublon possible","")</x:f>
      </x:c>
      <x:c r="I542" s="33" t="str">
        <x:f>IF(COUNTIFS($Y$9:$Y$678,Y542)&gt;1,"Nom + ville",IF(AND(Z542&lt;&gt;"",COUNTIFS($Z$9:$Z$678,Z542)&gt;1),"Téléphone",IF(AND(AA542&lt;&gt;"",COUNTIFS($AA$9:$AA$678,AA542)&gt;1),"Site web","")))</x:f>
      </x:c>
      <x:c r="J542" s="33" t="str">
        <x:v>Ambassade des Émirats arabes unis</x:v>
      </x:c>
      <x:c r="K542" s="33" t="str">
        <x:v>Services professionnels</x:v>
      </x:c>
      <x:c r="L542" s="33" t="str">
        <x:v>Consultants</x:v>
      </x:c>
      <x:c r="M542" s="33" t="str">
        <x:v>Ratoma</x:v>
      </x:c>
      <x:c r="N542" s="33" t="str">
        <x:v>Corniche Nord</x:v>
      </x:c>
      <x:c r="O542" s="33" t="str">
        <x:v>4 Cité Guissé</x:v>
      </x:c>
      <x:c r="P542" s="33" t="str">
        <x:v>+224-622890466</x:v>
      </x:c>
      <x:c r="Q542" s="33" t="str">
        <x:v>conakryemb@mofaic.gov.ae</x:v>
      </x:c>
      <x:c r="R542" s="33" t="str"/>
      <x:c r="S542" s="33" t="str"/>
      <x:c r="T542" s="35" t="n">
        <x:v>9.583456</x:v>
      </x:c>
      <x:c r="U542" s="35" t="n">
        <x:v>-13.6658013</x:v>
      </x:c>
      <x:c r="V542" s="33" t="str">
        <x:v>https://www.openstreetmap.org/node/7114720531</x:v>
      </x:c>
      <x:c r="W542" s="33" t="str">
        <x:v>node/7114720531</x:v>
      </x:c>
      <x:c r="X542" s="33" t="str">
        <x:v>review_required</x:v>
      </x:c>
      <x:c r="Y542" s="33" t="str">
        <x:v>ambassade des emirats arabes unis|ratoma</x:v>
      </x:c>
      <x:c r="Z542" s="33" t="str">
        <x:v>224622890466</x:v>
      </x:c>
      <x:c r="AA542" s="33" t="str"/>
    </x:row>
    <x:row r="543">
      <x:c r="A543" s="30" t="str">
        <x:v>À vérifier</x:v>
      </x:c>
      <x:c r="B543" s="30" t="str"/>
      <x:c r="C543" s="31"/>
      <x:c r="D543" s="30" t="str">
        <x:v>Non vérifié</x:v>
      </x:c>
      <x:c r="E543" s="30" t="str"/>
      <x:c r="F543" s="30" t="str"/>
      <x:c r="G543" s="32" t="str"/>
      <x:c r="H543" s="33" t="str">
        <x:f>IF(I543&lt;&gt;"","Doublon possible","")</x:f>
      </x:c>
      <x:c r="I543" s="33" t="str">
        <x:f>IF(COUNTIFS($Y$9:$Y$678,Y543)&gt;1,"Nom + ville",IF(AND(Z543&lt;&gt;"",COUNTIFS($Z$9:$Z$678,Z543)&gt;1),"Téléphone",IF(AND(AA543&lt;&gt;"",COUNTIFS($AA$9:$AA$678,AA543)&gt;1),"Site web","")))</x:f>
      </x:c>
      <x:c r="J543" s="33" t="str">
        <x:v>Ambassade des États-Unis d'Amérique</x:v>
      </x:c>
      <x:c r="K543" s="33" t="str">
        <x:v>Services professionnels</x:v>
      </x:c>
      <x:c r="L543" s="33" t="str">
        <x:v>Consultants</x:v>
      </x:c>
      <x:c r="M543" s="33" t="str">
        <x:v>Conakry</x:v>
      </x:c>
      <x:c r="N543" s="33" t="str">
        <x:v>Commune de Ratoma</x:v>
      </x:c>
      <x:c r="O543" s="33" t="str">
        <x:v>Transversal 2</x:v>
      </x:c>
      <x:c r="P543" s="33" t="str">
        <x:v>+(224)-655-104-000</x:v>
      </x:c>
      <x:c r="Q543" s="33" t="str"/>
      <x:c r="R543" s="33" t="str">
        <x:v>https://gn.usembassy.gov</x:v>
      </x:c>
      <x:c r="S543" s="33" t="str"/>
      <x:c r="T543" s="35" t="n">
        <x:v>9.5952867</x:v>
      </x:c>
      <x:c r="U543" s="35" t="n">
        <x:v>-13.6362489</x:v>
      </x:c>
      <x:c r="V543" s="33" t="str">
        <x:v>https://www.openstreetmap.org/way/94837396</x:v>
      </x:c>
      <x:c r="W543" s="33" t="str">
        <x:v>way/94837396</x:v>
      </x:c>
      <x:c r="X543" s="33" t="str">
        <x:v>review_required</x:v>
      </x:c>
      <x:c r="Y543" s="33" t="str">
        <x:v>ambassade des etats unis d amerique|conakry</x:v>
      </x:c>
      <x:c r="Z543" s="33" t="str">
        <x:v>224655104000</x:v>
      </x:c>
      <x:c r="AA543" s="33" t="str">
        <x:v>gn.usembassy.gov</x:v>
      </x:c>
    </x:row>
    <x:row r="544">
      <x:c r="A544" s="30" t="str">
        <x:v>À vérifier</x:v>
      </x:c>
      <x:c r="B544" s="30" t="str"/>
      <x:c r="C544" s="31"/>
      <x:c r="D544" s="30" t="str">
        <x:v>Non vérifié</x:v>
      </x:c>
      <x:c r="E544" s="30" t="str"/>
      <x:c r="F544" s="30" t="str"/>
      <x:c r="G544" s="32" t="str"/>
      <x:c r="H544" s="33" t="str">
        <x:f>IF(I544&lt;&gt;"","Doublon possible","")</x:f>
      </x:c>
      <x:c r="I544" s="33" t="str">
        <x:f>IF(COUNTIFS($Y$9:$Y$678,Y544)&gt;1,"Nom + ville",IF(AND(Z544&lt;&gt;"",COUNTIFS($Z$9:$Z$678,Z544)&gt;1),"Téléphone",IF(AND(AA544&lt;&gt;"",COUNTIFS($AA$9:$AA$678,AA544)&gt;1),"Site web","")))</x:f>
      </x:c>
      <x:c r="J544" s="33" t="str">
        <x:v>Ambassade du Brésil</x:v>
      </x:c>
      <x:c r="K544" s="33" t="str">
        <x:v>Services professionnels</x:v>
      </x:c>
      <x:c r="L544" s="33" t="str">
        <x:v>Consultants</x:v>
      </x:c>
      <x:c r="M544" s="33" t="str">
        <x:v>Conakry (à vérifier)</x:v>
      </x:c>
      <x:c r="N544" s="33" t="str"/>
      <x:c r="O544" s="33" t="str"/>
      <x:c r="P544" s="33" t="str">
        <x:v>+ 224-664 202 111</x:v>
      </x:c>
      <x:c r="Q544" s="33" t="str"/>
      <x:c r="R544" s="33" t="str">
        <x:v>http://conacri.itamaraty.gov.br</x:v>
      </x:c>
      <x:c r="S544" s="33" t="str"/>
      <x:c r="T544" s="35" t="n">
        <x:v>9.523817</x:v>
      </x:c>
      <x:c r="U544" s="35" t="n">
        <x:v>-13.6861252</x:v>
      </x:c>
      <x:c r="V544" s="33" t="str">
        <x:v>https://www.openstreetmap.org/node/8495130072</x:v>
      </x:c>
      <x:c r="W544" s="33" t="str">
        <x:v>node/8495130072</x:v>
      </x:c>
      <x:c r="X544" s="33" t="str">
        <x:v>review_required</x:v>
      </x:c>
      <x:c r="Y544" s="33" t="str">
        <x:v>ambassade du bresil|conakry a verifier</x:v>
      </x:c>
      <x:c r="Z544" s="33" t="str">
        <x:v>224664202111</x:v>
      </x:c>
      <x:c r="AA544" s="33" t="str">
        <x:v>conacri.itamaraty.gov.br</x:v>
      </x:c>
    </x:row>
    <x:row r="545">
      <x:c r="A545" s="30" t="str">
        <x:v>À vérifier</x:v>
      </x:c>
      <x:c r="B545" s="30" t="str"/>
      <x:c r="C545" s="31"/>
      <x:c r="D545" s="30" t="str">
        <x:v>Non vérifié</x:v>
      </x:c>
      <x:c r="E545" s="30" t="str"/>
      <x:c r="F545" s="30" t="str"/>
      <x:c r="G545" s="32" t="str"/>
      <x:c r="H545" s="33" t="str">
        <x:f>IF(I545&lt;&gt;"","Doublon possible","")</x:f>
      </x:c>
      <x:c r="I545" s="33" t="str">
        <x:f>IF(COUNTIFS($Y$9:$Y$678,Y545)&gt;1,"Nom + ville",IF(AND(Z545&lt;&gt;"",COUNTIFS($Z$9:$Z$678,Z545)&gt;1),"Téléphone",IF(AND(AA545&lt;&gt;"",COUNTIFS($AA$9:$AA$678,AA545)&gt;1),"Site web","")))</x:f>
      </x:c>
      <x:c r="J545" s="33" t="str">
        <x:v>Ambassade du Ghana</x:v>
      </x:c>
      <x:c r="K545" s="33" t="str">
        <x:v>Services professionnels</x:v>
      </x:c>
      <x:c r="L545" s="33" t="str">
        <x:v>Consultants</x:v>
      </x:c>
      <x:c r="M545" s="33" t="str">
        <x:v>Conakry</x:v>
      </x:c>
      <x:c r="N545" s="33" t="str"/>
      <x:c r="O545" s="33" t="str">
        <x:v>Camayenne corniche</x:v>
      </x:c>
      <x:c r="P545" s="33" t="str">
        <x:v>+224 63 409 560</x:v>
      </x:c>
      <x:c r="Q545" s="33" t="str">
        <x:v>ghanaem13@yahoo.co.uk</x:v>
      </x:c>
      <x:c r="R545" s="33" t="str">
        <x:v>https://www.ghanaembassy-guinea.com</x:v>
      </x:c>
      <x:c r="S545" s="33" t="str"/>
      <x:c r="T545" s="35" t="n">
        <x:v>9.5332632</x:v>
      </x:c>
      <x:c r="U545" s="35" t="n">
        <x:v>-13.68982</x:v>
      </x:c>
      <x:c r="V545" s="33" t="str">
        <x:v>https://www.openstreetmap.org/node/5960834346</x:v>
      </x:c>
      <x:c r="W545" s="33" t="str">
        <x:v>node/5960834346</x:v>
      </x:c>
      <x:c r="X545" s="33" t="str">
        <x:v>review_required</x:v>
      </x:c>
      <x:c r="Y545" s="33" t="str">
        <x:v>ambassade du ghana|conakry</x:v>
      </x:c>
      <x:c r="Z545" s="33" t="str">
        <x:v>22463409560</x:v>
      </x:c>
      <x:c r="AA545" s="33" t="str">
        <x:v>ghanaembassy-guinea.com</x:v>
      </x:c>
    </x:row>
    <x:row r="546">
      <x:c r="A546" s="30" t="str">
        <x:v>À vérifier</x:v>
      </x:c>
      <x:c r="B546" s="30" t="str"/>
      <x:c r="C546" s="31"/>
      <x:c r="D546" s="30" t="str">
        <x:v>Non vérifié</x:v>
      </x:c>
      <x:c r="E546" s="30" t="str"/>
      <x:c r="F546" s="30" t="str"/>
      <x:c r="G546" s="32" t="str"/>
      <x:c r="H546" s="33" t="str">
        <x:f>IF(I546&lt;&gt;"","Doublon possible","")</x:f>
      </x:c>
      <x:c r="I546" s="33" t="str">
        <x:f>IF(COUNTIFS($Y$9:$Y$678,Y546)&gt;1,"Nom + ville",IF(AND(Z546&lt;&gt;"",COUNTIFS($Z$9:$Z$678,Z546)&gt;1),"Téléphone",IF(AND(AA546&lt;&gt;"",COUNTIFS($AA$9:$AA$678,AA546)&gt;1),"Site web","")))</x:f>
      </x:c>
      <x:c r="J546" s="33" t="str">
        <x:v>Ambassade du Libéria</x:v>
      </x:c>
      <x:c r="K546" s="33" t="str">
        <x:v>Services professionnels</x:v>
      </x:c>
      <x:c r="L546" s="33" t="str">
        <x:v>Consultants</x:v>
      </x:c>
      <x:c r="M546" s="33" t="str">
        <x:v>Conakry</x:v>
      </x:c>
      <x:c r="N546" s="33" t="str">
        <x:v>Ratoma</x:v>
      </x:c>
      <x:c r="O546" s="33" t="str"/>
      <x:c r="P546" s="33" t="str">
        <x:v>+224 6 66144651</x:v>
      </x:c>
      <x:c r="Q546" s="33" t="str">
        <x:v>rlemb.cguinea@yahoo.com</x:v>
      </x:c>
      <x:c r="R546" s="33" t="str"/>
      <x:c r="S546" s="33" t="str"/>
      <x:c r="T546" s="35" t="n">
        <x:v>9.5990441</x:v>
      </x:c>
      <x:c r="U546" s="35" t="n">
        <x:v>-13.6548467</x:v>
      </x:c>
      <x:c r="V546" s="33" t="str">
        <x:v>https://www.openstreetmap.org/node/5861167941</x:v>
      </x:c>
      <x:c r="W546" s="33" t="str">
        <x:v>node/5861167941</x:v>
      </x:c>
      <x:c r="X546" s="33" t="str">
        <x:v>review_required</x:v>
      </x:c>
      <x:c r="Y546" s="33" t="str">
        <x:v>ambassade du liberia|conakry</x:v>
      </x:c>
      <x:c r="Z546" s="33" t="str">
        <x:v>224666144651</x:v>
      </x:c>
      <x:c r="AA546" s="33" t="str"/>
    </x:row>
    <x:row r="547">
      <x:c r="A547" s="30" t="str">
        <x:v>À vérifier</x:v>
      </x:c>
      <x:c r="B547" s="30" t="str"/>
      <x:c r="C547" s="31"/>
      <x:c r="D547" s="30" t="str">
        <x:v>Non vérifié</x:v>
      </x:c>
      <x:c r="E547" s="30" t="str"/>
      <x:c r="F547" s="30" t="str"/>
      <x:c r="G547" s="32" t="str"/>
      <x:c r="H547" s="33" t="str">
        <x:f>IF(I547&lt;&gt;"","Doublon possible","")</x:f>
      </x:c>
      <x:c r="I547" s="33" t="str">
        <x:f>IF(COUNTIFS($Y$9:$Y$678,Y547)&gt;1,"Nom + ville",IF(AND(Z547&lt;&gt;"",COUNTIFS($Z$9:$Z$678,Z547)&gt;1),"Téléphone",IF(AND(AA547&lt;&gt;"",COUNTIFS($AA$9:$AA$678,AA547)&gt;1),"Site web","")))</x:f>
      </x:c>
      <x:c r="J547" s="33" t="str">
        <x:v>Ambassade du Mali</x:v>
      </x:c>
      <x:c r="K547" s="33" t="str">
        <x:v>Services professionnels</x:v>
      </x:c>
      <x:c r="L547" s="33" t="str">
        <x:v>Consultants</x:v>
      </x:c>
      <x:c r="M547" s="33" t="str">
        <x:v>Conakry</x:v>
      </x:c>
      <x:c r="N547" s="33" t="str">
        <x:v>Commune de Dixinn</x:v>
      </x:c>
      <x:c r="O547" s="33" t="str">
        <x:v>Camayenne corniche, près de la cour suprêm</x:v>
      </x:c>
      <x:c r="P547" s="33" t="str">
        <x:v>+224 669 399403</x:v>
      </x:c>
      <x:c r="Q547" s="33" t="str">
        <x:v>ambassademaliconakry@yahoo.fr</x:v>
      </x:c>
      <x:c r="R547" s="33" t="str"/>
      <x:c r="S547" s="33" t="str"/>
      <x:c r="T547" s="35" t="n">
        <x:v>9.5341111</x:v>
      </x:c>
      <x:c r="U547" s="35" t="n">
        <x:v>-13.6894158</x:v>
      </x:c>
      <x:c r="V547" s="33" t="str">
        <x:v>https://www.openstreetmap.org/node/5550526591</x:v>
      </x:c>
      <x:c r="W547" s="33" t="str">
        <x:v>node/5550526591</x:v>
      </x:c>
      <x:c r="X547" s="33" t="str">
        <x:v>review_required</x:v>
      </x:c>
      <x:c r="Y547" s="33" t="str">
        <x:v>ambassade du mali|conakry</x:v>
      </x:c>
      <x:c r="Z547" s="33" t="str">
        <x:v>224669399403</x:v>
      </x:c>
      <x:c r="AA547" s="33" t="str"/>
    </x:row>
    <x:row r="548">
      <x:c r="A548" s="30" t="str">
        <x:v>À vérifier</x:v>
      </x:c>
      <x:c r="B548" s="30" t="str"/>
      <x:c r="C548" s="31"/>
      <x:c r="D548" s="30" t="str">
        <x:v>Non vérifié</x:v>
      </x:c>
      <x:c r="E548" s="30" t="str"/>
      <x:c r="F548" s="30" t="str"/>
      <x:c r="G548" s="32" t="str"/>
      <x:c r="H548" s="33" t="str">
        <x:f>IF(I548&lt;&gt;"","Doublon possible","")</x:f>
      </x:c>
      <x:c r="I548" s="33" t="str">
        <x:f>IF(COUNTIFS($Y$9:$Y$678,Y548)&gt;1,"Nom + ville",IF(AND(Z548&lt;&gt;"",COUNTIFS($Z$9:$Z$678,Z548)&gt;1),"Téléphone",IF(AND(AA548&lt;&gt;"",COUNTIFS($AA$9:$AA$678,AA548)&gt;1),"Site web","")))</x:f>
      </x:c>
      <x:c r="J548" s="33" t="str">
        <x:v>Ambassade du Royaume-Uni</x:v>
      </x:c>
      <x:c r="K548" s="33" t="str">
        <x:v>Services professionnels</x:v>
      </x:c>
      <x:c r="L548" s="33" t="str">
        <x:v>Consultants</x:v>
      </x:c>
      <x:c r="M548" s="33" t="str">
        <x:v>Conakry</x:v>
      </x:c>
      <x:c r="N548" s="33" t="str"/>
      <x:c r="O548" s="33" t="str">
        <x:v>Résidence 2000</x:v>
      </x:c>
      <x:c r="P548" s="33" t="str"/>
      <x:c r="Q548" s="33" t="str"/>
      <x:c r="R548" s="33" t="str">
        <x:v>https://www.gov.uk/world/organisations/british-embassy-conakry</x:v>
      </x:c>
      <x:c r="S548" s="33" t="str"/>
      <x:c r="T548" s="35" t="n">
        <x:v>9.5238526</x:v>
      </x:c>
      <x:c r="U548" s="35" t="n">
        <x:v>-13.6859962</x:v>
      </x:c>
      <x:c r="V548" s="33" t="str">
        <x:v>https://www.openstreetmap.org/node/8604134450</x:v>
      </x:c>
      <x:c r="W548" s="33" t="str">
        <x:v>node/8604134450</x:v>
      </x:c>
      <x:c r="X548" s="33" t="str">
        <x:v>review_required</x:v>
      </x:c>
      <x:c r="Y548" s="33" t="str">
        <x:v>ambassade du royaume uni|conakry</x:v>
      </x:c>
      <x:c r="Z548" s="33" t="str"/>
      <x:c r="AA548" s="33" t="str">
        <x:v>gov.uk/world/organisations/british-embassy-conakry</x:v>
      </x:c>
    </x:row>
    <x:row r="549">
      <x:c r="A549" s="30" t="str">
        <x:v>À vérifier</x:v>
      </x:c>
      <x:c r="B549" s="30" t="str"/>
      <x:c r="C549" s="31"/>
      <x:c r="D549" s="30" t="str">
        <x:v>Non vérifié</x:v>
      </x:c>
      <x:c r="E549" s="30" t="str"/>
      <x:c r="F549" s="30" t="str"/>
      <x:c r="G549" s="32" t="str"/>
      <x:c r="H549" s="33" t="str">
        <x:f>IF(I549&lt;&gt;"","Doublon possible","")</x:f>
        <x:v>Doublon possible</x:v>
      </x:c>
      <x:c r="I549" s="33" t="str">
        <x:f>IF(COUNTIFS($Y$9:$Y$678,Y549)&gt;1,"Nom + ville",IF(AND(Z549&lt;&gt;"",COUNTIFS($Z$9:$Z$678,Z549)&gt;1),"Téléphone",IF(AND(AA549&lt;&gt;"",COUNTIFS($AA$9:$AA$678,AA549)&gt;1),"Site web","")))</x:f>
        <x:v>Téléphone</x:v>
      </x:c>
      <x:c r="J549" s="33" t="str">
        <x:v>Association des blogueurs de Guinée</x:v>
      </x:c>
      <x:c r="K549" s="33" t="str">
        <x:v>Services professionnels</x:v>
      </x:c>
      <x:c r="L549" s="33" t="str">
        <x:v>Consultants</x:v>
      </x:c>
      <x:c r="M549" s="33" t="str">
        <x:v>Conakry (à vérifier)</x:v>
      </x:c>
      <x:c r="N549" s="33" t="str">
        <x:v>Dixinn</x:v>
      </x:c>
      <x:c r="O549" s="33" t="str">
        <x:v>Dixinn Terrasse, Conakry, Guinée</x:v>
      </x:c>
      <x:c r="P549" s="33" t="str">
        <x:v>+224 626397709</x:v>
      </x:c>
      <x:c r="Q549" s="33" t="str">
        <x:v>abloguinee@gmail.com</x:v>
      </x:c>
      <x:c r="R549" s="33" t="str">
        <x:v>http://www.ablogui.org/</x:v>
      </x:c>
      <x:c r="S549" s="33" t="str"/>
      <x:c r="T549" s="35" t="n">
        <x:v>9.548099</x:v>
      </x:c>
      <x:c r="U549" s="35" t="n">
        <x:v>-13.6739928</x:v>
      </x:c>
      <x:c r="V549" s="33" t="str">
        <x:v>https://www.openstreetmap.org/node/5221727221</x:v>
      </x:c>
      <x:c r="W549" s="33" t="str">
        <x:v>node/5221727221</x:v>
      </x:c>
      <x:c r="X549" s="33" t="str">
        <x:v>review_required</x:v>
      </x:c>
      <x:c r="Y549" s="33" t="str">
        <x:v>association des blogueurs de guinee|conakry a verifier</x:v>
      </x:c>
      <x:c r="Z549" s="33" t="str">
        <x:v>224626397709</x:v>
      </x:c>
      <x:c r="AA549" s="33" t="str">
        <x:v>ablogui.org</x:v>
      </x:c>
    </x:row>
    <x:row r="550">
      <x:c r="A550" s="30" t="str">
        <x:v>À vérifier</x:v>
      </x:c>
      <x:c r="B550" s="30" t="str"/>
      <x:c r="C550" s="31"/>
      <x:c r="D550" s="30" t="str">
        <x:v>Non vérifié</x:v>
      </x:c>
      <x:c r="E550" s="30" t="str"/>
      <x:c r="F550" s="30" t="str"/>
      <x:c r="G550" s="32" t="str"/>
      <x:c r="H550" s="33" t="str">
        <x:f>IF(I550&lt;&gt;"","Doublon possible","")</x:f>
      </x:c>
      <x:c r="I550" s="33" t="str">
        <x:f>IF(COUNTIFS($Y$9:$Y$678,Y550)&gt;1,"Nom + ville",IF(AND(Z550&lt;&gt;"",COUNTIFS($Z$9:$Z$678,Z550)&gt;1),"Téléphone",IF(AND(AA550&lt;&gt;"",COUNTIFS($AA$9:$AA$678,AA550)&gt;1),"Site web","")))</x:f>
      </x:c>
      <x:c r="J550" s="33" t="str">
        <x:v>Betelcom</x:v>
      </x:c>
      <x:c r="K550" s="33" t="str">
        <x:v>Services professionnels</x:v>
      </x:c>
      <x:c r="L550" s="33" t="str">
        <x:v>Consultants</x:v>
      </x:c>
      <x:c r="M550" s="33" t="str">
        <x:v>Conakry (à vérifier)</x:v>
      </x:c>
      <x:c r="N550" s="33" t="str"/>
      <x:c r="O550" s="33" t="str"/>
      <x:c r="P550" s="33" t="str">
        <x:v>627279805</x:v>
      </x:c>
      <x:c r="Q550" s="33" t="str">
        <x:v>info@betelcomguinee.org</x:v>
      </x:c>
      <x:c r="R550" s="33" t="str">
        <x:v>www.betelcomguinee.org</x:v>
      </x:c>
      <x:c r="S550" s="33" t="str"/>
      <x:c r="T550" s="35" t="n">
        <x:v>9.5895947</x:v>
      </x:c>
      <x:c r="U550" s="35" t="n">
        <x:v>-13.6565986</x:v>
      </x:c>
      <x:c r="V550" s="33" t="str">
        <x:v>https://www.openstreetmap.org/node/6308657633</x:v>
      </x:c>
      <x:c r="W550" s="33" t="str">
        <x:v>node/6308657633</x:v>
      </x:c>
      <x:c r="X550" s="33" t="str">
        <x:v>review_required</x:v>
      </x:c>
      <x:c r="Y550" s="33" t="str">
        <x:v>betelcom|conakry a verifier</x:v>
      </x:c>
      <x:c r="Z550" s="33" t="str">
        <x:v>224627279805</x:v>
      </x:c>
      <x:c r="AA550" s="33" t="str">
        <x:v>betelcomguinee.org</x:v>
      </x:c>
    </x:row>
    <x:row r="551">
      <x:c r="A551" s="30" t="str">
        <x:v>À vérifier</x:v>
      </x:c>
      <x:c r="B551" s="30" t="str"/>
      <x:c r="C551" s="31"/>
      <x:c r="D551" s="30" t="str">
        <x:v>Non vérifié</x:v>
      </x:c>
      <x:c r="E551" s="30" t="str"/>
      <x:c r="F551" s="30" t="str"/>
      <x:c r="G551" s="32" t="str"/>
      <x:c r="H551" s="33" t="str">
        <x:f>IF(I551&lt;&gt;"","Doublon possible","")</x:f>
        <x:v>Doublon possible</x:v>
      </x:c>
      <x:c r="I551" s="33" t="str">
        <x:f>IF(COUNTIFS($Y$9:$Y$678,Y551)&gt;1,"Nom + ville",IF(AND(Z551&lt;&gt;"",COUNTIFS($Z$9:$Z$678,Z551)&gt;1),"Téléphone",IF(AND(AA551&lt;&gt;"",COUNTIFS($AA$9:$AA$678,AA551)&gt;1),"Site web","")))</x:f>
        <x:v>Site web</x:v>
      </x:c>
      <x:c r="J551" s="33" t="str">
        <x:v>CETEC</x:v>
      </x:c>
      <x:c r="K551" s="33" t="str">
        <x:v>Services professionnels</x:v>
      </x:c>
      <x:c r="L551" s="33" t="str">
        <x:v>Consultants</x:v>
      </x:c>
      <x:c r="M551" s="33" t="str">
        <x:v>Conakry (à vérifier)</x:v>
      </x:c>
      <x:c r="N551" s="33" t="str"/>
      <x:c r="O551" s="33" t="str"/>
      <x:c r="P551" s="33" t="str">
        <x:v>+224660210740 / 629348020</x:v>
      </x:c>
      <x:c r="Q551" s="33" t="str"/>
      <x:c r="R551" s="33" t="str">
        <x:v>becetec224@gmail.com</x:v>
      </x:c>
      <x:c r="S551" s="33" t="str"/>
      <x:c r="T551" s="35" t="n">
        <x:v>9.6197117</x:v>
      </x:c>
      <x:c r="U551" s="35" t="n">
        <x:v>-13.5841284</x:v>
      </x:c>
      <x:c r="V551" s="33" t="str">
        <x:v>https://www.openstreetmap.org/node/6991922017</x:v>
      </x:c>
      <x:c r="W551" s="33" t="str">
        <x:v>node/6991922017</x:v>
      </x:c>
      <x:c r="X551" s="33" t="str">
        <x:v>review_required</x:v>
      </x:c>
      <x:c r="Y551" s="33" t="str">
        <x:v>cetec|conakry a verifier</x:v>
      </x:c>
      <x:c r="Z551" s="33" t="str">
        <x:v>224660210740629348020</x:v>
      </x:c>
      <x:c r="AA551" s="33" t="str">
        <x:v>gmail.com</x:v>
      </x:c>
    </x:row>
    <x:row r="552">
      <x:c r="A552" s="30" t="str">
        <x:v>À vérifier</x:v>
      </x:c>
      <x:c r="B552" s="30" t="str"/>
      <x:c r="C552" s="31"/>
      <x:c r="D552" s="30" t="str">
        <x:v>Non vérifié</x:v>
      </x:c>
      <x:c r="E552" s="30" t="str"/>
      <x:c r="F552" s="30" t="str"/>
      <x:c r="G552" s="32" t="str"/>
      <x:c r="H552" s="33" t="str">
        <x:f>IF(I552&lt;&gt;"","Doublon possible","")</x:f>
      </x:c>
      <x:c r="I552" s="33" t="str">
        <x:f>IF(COUNTIFS($Y$9:$Y$678,Y552)&gt;1,"Nom + ville",IF(AND(Z552&lt;&gt;"",COUNTIFS($Z$9:$Z$678,Z552)&gt;1),"Téléphone",IF(AND(AA552&lt;&gt;"",COUNTIFS($AA$9:$AA$678,AA552)&gt;1),"Site web","")))</x:f>
      </x:c>
      <x:c r="J552" s="33" t="str">
        <x:v>CIRD (Centre International de Recherche et de Documentation</x:v>
      </x:c>
      <x:c r="K552" s="33" t="str">
        <x:v>Services professionnels</x:v>
      </x:c>
      <x:c r="L552" s="33" t="str">
        <x:v>Consultants</x:v>
      </x:c>
      <x:c r="M552" s="33" t="str">
        <x:v>Conakry (à vérifier)</x:v>
      </x:c>
      <x:c r="N552" s="33" t="str"/>
      <x:c r="O552" s="33" t="str"/>
      <x:c r="P552" s="33" t="str">
        <x:v>00224 624 61 24 06</x:v>
      </x:c>
      <x:c r="Q552" s="33" t="str"/>
      <x:c r="R552" s="33" t="str">
        <x:v>www.cirdguinee.org</x:v>
      </x:c>
      <x:c r="S552" s="33" t="str"/>
      <x:c r="T552" s="35" t="n">
        <x:v>9.6014609</x:v>
      </x:c>
      <x:c r="U552" s="35" t="n">
        <x:v>-13.6555199</x:v>
      </x:c>
      <x:c r="V552" s="33" t="str">
        <x:v>https://www.openstreetmap.org/node/9048919480</x:v>
      </x:c>
      <x:c r="W552" s="33" t="str">
        <x:v>node/9048919480</x:v>
      </x:c>
      <x:c r="X552" s="33" t="str">
        <x:v>review_required</x:v>
      </x:c>
      <x:c r="Y552" s="33" t="str">
        <x:v>cird centre international de recherche et de documentation|conakry a verifier</x:v>
      </x:c>
      <x:c r="Z552" s="33" t="str">
        <x:v>224624612406</x:v>
      </x:c>
      <x:c r="AA552" s="33" t="str">
        <x:v>cirdguinee.org</x:v>
      </x:c>
    </x:row>
    <x:row r="553">
      <x:c r="A553" s="30" t="str">
        <x:v>À vérifier</x:v>
      </x:c>
      <x:c r="B553" s="30" t="str"/>
      <x:c r="C553" s="31"/>
      <x:c r="D553" s="30" t="str">
        <x:v>Non vérifié</x:v>
      </x:c>
      <x:c r="E553" s="30" t="str"/>
      <x:c r="F553" s="30" t="str"/>
      <x:c r="G553" s="32" t="str"/>
      <x:c r="H553" s="33" t="str">
        <x:f>IF(I553&lt;&gt;"","Doublon possible","")</x:f>
      </x:c>
      <x:c r="I553" s="33" t="str">
        <x:f>IF(COUNTIFS($Y$9:$Y$678,Y553)&gt;1,"Nom + ville",IF(AND(Z553&lt;&gt;"",COUNTIFS($Z$9:$Z$678,Z553)&gt;1),"Téléphone",IF(AND(AA553&lt;&gt;"",COUNTIFS($AA$9:$AA$678,AA553)&gt;1),"Site web","")))</x:f>
      </x:c>
      <x:c r="J553" s="33" t="str">
        <x:v>Consulat du Sri-Lanka</x:v>
      </x:c>
      <x:c r="K553" s="33" t="str">
        <x:v>Services professionnels</x:v>
      </x:c>
      <x:c r="L553" s="33" t="str">
        <x:v>Consultants</x:v>
      </x:c>
      <x:c r="M553" s="33" t="str">
        <x:v>CONAKRY</x:v>
      </x:c>
      <x:c r="N553" s="33" t="str">
        <x:v>Ratoma</x:v>
      </x:c>
      <x:c r="O553" s="33" t="str">
        <x:v>Rue RO. 345</x:v>
      </x:c>
      <x:c r="P553" s="33" t="str"/>
      <x:c r="Q553" s="33" t="str"/>
      <x:c r="R553" s="33" t="str">
        <x:v>https://www.childfund.org/</x:v>
      </x:c>
      <x:c r="S553" s="33" t="str"/>
      <x:c r="T553" s="35" t="n">
        <x:v>9.6061957</x:v>
      </x:c>
      <x:c r="U553" s="35" t="n">
        <x:v>-13.6408069</x:v>
      </x:c>
      <x:c r="V553" s="33" t="str">
        <x:v>https://www.openstreetmap.org/node/4341029266</x:v>
      </x:c>
      <x:c r="W553" s="33" t="str">
        <x:v>node/4341029266</x:v>
      </x:c>
      <x:c r="X553" s="33" t="str">
        <x:v>review_required</x:v>
      </x:c>
      <x:c r="Y553" s="33" t="str">
        <x:v>consulat du sri lanka|conakry</x:v>
      </x:c>
      <x:c r="Z553" s="33" t="str"/>
      <x:c r="AA553" s="33" t="str">
        <x:v>childfund.org</x:v>
      </x:c>
    </x:row>
    <x:row r="554">
      <x:c r="A554" s="30" t="str">
        <x:v>À vérifier</x:v>
      </x:c>
      <x:c r="B554" s="30" t="str"/>
      <x:c r="C554" s="31"/>
      <x:c r="D554" s="30" t="str">
        <x:v>Non vérifié</x:v>
      </x:c>
      <x:c r="E554" s="30" t="str"/>
      <x:c r="F554" s="30" t="str"/>
      <x:c r="G554" s="32" t="str"/>
      <x:c r="H554" s="33" t="str">
        <x:f>IF(I554&lt;&gt;"","Doublon possible","")</x:f>
      </x:c>
      <x:c r="I554" s="33" t="str">
        <x:f>IF(COUNTIFS($Y$9:$Y$678,Y554)&gt;1,"Nom + ville",IF(AND(Z554&lt;&gt;"",COUNTIFS($Z$9:$Z$678,Z554)&gt;1),"Téléphone",IF(AND(AA554&lt;&gt;"",COUNTIFS($AA$9:$AA$678,AA554)&gt;1),"Site web","")))</x:f>
      </x:c>
      <x:c r="J554" s="33" t="str">
        <x:v>Consulat honoraire d'Ukraine</x:v>
      </x:c>
      <x:c r="K554" s="33" t="str">
        <x:v>Services professionnels</x:v>
      </x:c>
      <x:c r="L554" s="33" t="str">
        <x:v>Consultants</x:v>
      </x:c>
      <x:c r="M554" s="33" t="str">
        <x:v>Conakry</x:v>
      </x:c>
      <x:c r="N554" s="33" t="str"/>
      <x:c r="O554" s="33" t="str">
        <x:v>Cité ministérielle Corniche Nord Dixinn</x:v>
      </x:c>
      <x:c r="P554" s="33" t="str">
        <x:v>+224 62 2938463</x:v>
      </x:c>
      <x:c r="Q554" s="33" t="str">
        <x:v>consulathonorairedukrainerg@gmail.com</x:v>
      </x:c>
      <x:c r="R554" s="33" t="str">
        <x:v>https://mfa.gov.ua/en/about-mfa/abroad/honorary-consulates/188</x:v>
      </x:c>
      <x:c r="S554" s="33" t="str"/>
      <x:c r="T554" s="35" t="n">
        <x:v>9.5124511</x:v>
      </x:c>
      <x:c r="U554" s="35" t="n">
        <x:v>-13.7148281</x:v>
      </x:c>
      <x:c r="V554" s="33" t="str">
        <x:v>https://www.openstreetmap.org/node/5739446754</x:v>
      </x:c>
      <x:c r="W554" s="33" t="str">
        <x:v>node/5739446754</x:v>
      </x:c>
      <x:c r="X554" s="33" t="str">
        <x:v>review_required</x:v>
      </x:c>
      <x:c r="Y554" s="33" t="str">
        <x:v>consulat honoraire d ukraine|conakry</x:v>
      </x:c>
      <x:c r="Z554" s="33" t="str">
        <x:v>224622938463</x:v>
      </x:c>
      <x:c r="AA554" s="33" t="str">
        <x:v>mfa.gov.ua/en/about-mfa/abroad/honorary-consulates/188</x:v>
      </x:c>
    </x:row>
    <x:row r="555">
      <x:c r="A555" s="30" t="str">
        <x:v>À vérifier</x:v>
      </x:c>
      <x:c r="B555" s="30" t="str"/>
      <x:c r="C555" s="31"/>
      <x:c r="D555" s="30" t="str">
        <x:v>Non vérifié</x:v>
      </x:c>
      <x:c r="E555" s="30" t="str"/>
      <x:c r="F555" s="30" t="str"/>
      <x:c r="G555" s="32" t="str"/>
      <x:c r="H555" s="33" t="str">
        <x:f>IF(I555&lt;&gt;"","Doublon possible","")</x:f>
      </x:c>
      <x:c r="I555" s="33" t="str">
        <x:f>IF(COUNTIFS($Y$9:$Y$678,Y555)&gt;1,"Nom + ville",IF(AND(Z555&lt;&gt;"",COUNTIFS($Z$9:$Z$678,Z555)&gt;1),"Téléphone",IF(AND(AA555&lt;&gt;"",COUNTIFS($AA$9:$AA$678,AA555)&gt;1),"Site web","")))</x:f>
      </x:c>
      <x:c r="J555" s="33" t="str">
        <x:v>Consulat Honoraires d'Italie</x:v>
      </x:c>
      <x:c r="K555" s="33" t="str">
        <x:v>Services professionnels</x:v>
      </x:c>
      <x:c r="L555" s="33" t="str">
        <x:v>Consultants</x:v>
      </x:c>
      <x:c r="M555" s="33" t="str">
        <x:v>Conakry (à vérifier)</x:v>
      </x:c>
      <x:c r="N555" s="33" t="str"/>
      <x:c r="O555" s="33" t="str">
        <x:v>Kipe Dadia</x:v>
      </x:c>
      <x:c r="P555" s="33" t="str"/>
      <x:c r="Q555" s="33" t="str"/>
      <x:c r="R555" s="33" t="str"/>
      <x:c r="S555" s="33" t="str"/>
      <x:c r="T555" s="35" t="n">
        <x:v>9.6004362</x:v>
      </x:c>
      <x:c r="U555" s="35" t="n">
        <x:v>-13.6530545</x:v>
      </x:c>
      <x:c r="V555" s="33" t="str">
        <x:v>https://www.openstreetmap.org/node/6227201460</x:v>
      </x:c>
      <x:c r="W555" s="33" t="str">
        <x:v>node/6227201460</x:v>
      </x:c>
      <x:c r="X555" s="33" t="str">
        <x:v>review_required</x:v>
      </x:c>
      <x:c r="Y555" s="33" t="str">
        <x:v>consulat honoraires d italie|conakry a verifier</x:v>
      </x:c>
      <x:c r="Z555" s="33" t="str"/>
      <x:c r="AA555" s="33" t="str"/>
    </x:row>
    <x:row r="556">
      <x:c r="A556" s="30" t="str">
        <x:v>À vérifier</x:v>
      </x:c>
      <x:c r="B556" s="30" t="str"/>
      <x:c r="C556" s="31"/>
      <x:c r="D556" s="30" t="str">
        <x:v>Non vérifié</x:v>
      </x:c>
      <x:c r="E556" s="30" t="str"/>
      <x:c r="F556" s="30" t="str"/>
      <x:c r="G556" s="32" t="str"/>
      <x:c r="H556" s="33" t="str">
        <x:f>IF(I556&lt;&gt;"","Doublon possible","")</x:f>
        <x:v>Doublon possible</x:v>
      </x:c>
      <x:c r="I556" s="33" t="str">
        <x:f>IF(COUNTIFS($Y$9:$Y$678,Y556)&gt;1,"Nom + ville",IF(AND(Z556&lt;&gt;"",COUNTIFS($Z$9:$Z$678,Z556)&gt;1),"Téléphone",IF(AND(AA556&lt;&gt;"",COUNTIFS($AA$9:$AA$678,AA556)&gt;1),"Site web","")))</x:f>
        <x:v>Téléphone</x:v>
      </x:c>
      <x:c r="J556" s="33" t="str">
        <x:v>Croix Rouge Guinenne</x:v>
      </x:c>
      <x:c r="K556" s="33" t="str">
        <x:v>Services professionnels</x:v>
      </x:c>
      <x:c r="L556" s="33" t="str">
        <x:v>Consultants</x:v>
      </x:c>
      <x:c r="M556" s="33" t="str">
        <x:v>Conakry (à vérifier)</x:v>
      </x:c>
      <x:c r="N556" s="33" t="str"/>
      <x:c r="O556" s="33" t="str">
        <x:v>kobaya</x:v>
      </x:c>
      <x:c r="P556" s="33" t="str">
        <x:v>+224628682200</x:v>
      </x:c>
      <x:c r="Q556" s="33" t="str"/>
      <x:c r="R556" s="33" t="str"/>
      <x:c r="S556" s="33" t="str"/>
      <x:c r="T556" s="35" t="n">
        <x:v>9.6487917</x:v>
      </x:c>
      <x:c r="U556" s="35" t="n">
        <x:v>-13.5895933</x:v>
      </x:c>
      <x:c r="V556" s="33" t="str">
        <x:v>https://www.openstreetmap.org/node/7190028880</x:v>
      </x:c>
      <x:c r="W556" s="33" t="str">
        <x:v>node/7190028880</x:v>
      </x:c>
      <x:c r="X556" s="33" t="str">
        <x:v>review_required</x:v>
      </x:c>
      <x:c r="Y556" s="33" t="str">
        <x:v>croix rouge guinenne|conakry a verifier</x:v>
      </x:c>
      <x:c r="Z556" s="33" t="str">
        <x:v>224628682200</x:v>
      </x:c>
      <x:c r="AA556" s="33" t="str"/>
    </x:row>
    <x:row r="557">
      <x:c r="A557" s="30" t="str">
        <x:v>À vérifier</x:v>
      </x:c>
      <x:c r="B557" s="30" t="str"/>
      <x:c r="C557" s="31"/>
      <x:c r="D557" s="30" t="str">
        <x:v>Non vérifié</x:v>
      </x:c>
      <x:c r="E557" s="30" t="str"/>
      <x:c r="F557" s="30" t="str"/>
      <x:c r="G557" s="32" t="str"/>
      <x:c r="H557" s="33" t="str">
        <x:f>IF(I557&lt;&gt;"","Doublon possible","")</x:f>
      </x:c>
      <x:c r="I557" s="33" t="str">
        <x:f>IF(COUNTIFS($Y$9:$Y$678,Y557)&gt;1,"Nom + ville",IF(AND(Z557&lt;&gt;"",COUNTIFS($Z$9:$Z$678,Z557)&gt;1),"Téléphone",IF(AND(AA557&lt;&gt;"",COUNTIFS($AA$9:$AA$678,AA557)&gt;1),"Site web","")))</x:f>
      </x:c>
      <x:c r="J557" s="33" t="str">
        <x:v>CY Grup Guinee</x:v>
      </x:c>
      <x:c r="K557" s="33" t="str">
        <x:v>Services professionnels</x:v>
      </x:c>
      <x:c r="L557" s="33" t="str">
        <x:v>Consultants</x:v>
      </x:c>
      <x:c r="M557" s="33" t="str">
        <x:v>Conakry (à vérifier)</x:v>
      </x:c>
      <x:c r="N557" s="33" t="str"/>
      <x:c r="O557" s="33" t="str">
        <x:v>1 Rue KA.021</x:v>
      </x:c>
      <x:c r="P557" s="33" t="str">
        <x:v>+224 629637609</x:v>
      </x:c>
      <x:c r="Q557" s="33" t="str">
        <x:v>info@cy-grup.com</x:v>
      </x:c>
      <x:c r="R557" s="33" t="str">
        <x:v>http://www.cy-grup.com</x:v>
      </x:c>
      <x:c r="S557" s="33" t="str"/>
      <x:c r="T557" s="35" t="n">
        <x:v>9.515998</x:v>
      </x:c>
      <x:c r="U557" s="35" t="n">
        <x:v>-13.7123162</x:v>
      </x:c>
      <x:c r="V557" s="33" t="str">
        <x:v>https://www.openstreetmap.org/node/8787262717</x:v>
      </x:c>
      <x:c r="W557" s="33" t="str">
        <x:v>node/8787262717</x:v>
      </x:c>
      <x:c r="X557" s="33" t="str">
        <x:v>review_required</x:v>
      </x:c>
      <x:c r="Y557" s="33" t="str">
        <x:v>cy grup guinee|conakry a verifier</x:v>
      </x:c>
      <x:c r="Z557" s="33" t="str">
        <x:v>224629637609</x:v>
      </x:c>
      <x:c r="AA557" s="33" t="str">
        <x:v>cy-grup.com</x:v>
      </x:c>
    </x:row>
    <x:row r="558">
      <x:c r="A558" s="30" t="str">
        <x:v>À vérifier</x:v>
      </x:c>
      <x:c r="B558" s="30" t="str"/>
      <x:c r="C558" s="31"/>
      <x:c r="D558" s="30" t="str">
        <x:v>Non vérifié</x:v>
      </x:c>
      <x:c r="E558" s="30" t="str"/>
      <x:c r="F558" s="30" t="str"/>
      <x:c r="G558" s="32" t="str"/>
      <x:c r="H558" s="33" t="str">
        <x:f>IF(I558&lt;&gt;"","Doublon possible","")</x:f>
      </x:c>
      <x:c r="I558" s="33" t="str">
        <x:f>IF(COUNTIFS($Y$9:$Y$678,Y558)&gt;1,"Nom + ville",IF(AND(Z558&lt;&gt;"",COUNTIFS($Z$9:$Z$678,Z558)&gt;1),"Téléphone",IF(AND(AA558&lt;&gt;"",COUNTIFS($AA$9:$AA$678,AA558)&gt;1),"Site web","")))</x:f>
      </x:c>
      <x:c r="J558" s="33" t="str">
        <x:v>DHL</x:v>
      </x:c>
      <x:c r="K558" s="33" t="str">
        <x:v>Services professionnels</x:v>
      </x:c>
      <x:c r="L558" s="33" t="str">
        <x:v>Consultants</x:v>
      </x:c>
      <x:c r="M558" s="33" t="str">
        <x:v>Conakry (à vérifier)</x:v>
      </x:c>
      <x:c r="N558" s="33" t="str"/>
      <x:c r="O558" s="33" t="str">
        <x:v>B4</x:v>
      </x:c>
      <x:c r="P558" s="33" t="str"/>
      <x:c r="Q558" s="33" t="str"/>
      <x:c r="R558" s="33" t="str"/>
      <x:c r="S558" s="33" t="str"/>
      <x:c r="T558" s="35" t="n">
        <x:v>9.5480787</x:v>
      </x:c>
      <x:c r="U558" s="35" t="n">
        <x:v>-13.6738426</x:v>
      </x:c>
      <x:c r="V558" s="33" t="str">
        <x:v>https://www.openstreetmap.org/node/5966758439</x:v>
      </x:c>
      <x:c r="W558" s="33" t="str">
        <x:v>node/5966758439</x:v>
      </x:c>
      <x:c r="X558" s="33" t="str">
        <x:v>review_required</x:v>
      </x:c>
      <x:c r="Y558" s="33" t="str">
        <x:v>dhl|conakry a verifier</x:v>
      </x:c>
      <x:c r="Z558" s="33" t="str"/>
      <x:c r="AA558" s="33" t="str"/>
    </x:row>
    <x:row r="559">
      <x:c r="A559" s="30" t="str">
        <x:v>À vérifier</x:v>
      </x:c>
      <x:c r="B559" s="30" t="str"/>
      <x:c r="C559" s="31"/>
      <x:c r="D559" s="30" t="str">
        <x:v>Non vérifié</x:v>
      </x:c>
      <x:c r="E559" s="30" t="str"/>
      <x:c r="F559" s="30" t="str"/>
      <x:c r="G559" s="32" t="str"/>
      <x:c r="H559" s="33" t="str">
        <x:f>IF(I559&lt;&gt;"","Doublon possible","")</x:f>
      </x:c>
      <x:c r="I559" s="33" t="str">
        <x:f>IF(COUNTIFS($Y$9:$Y$678,Y559)&gt;1,"Nom + ville",IF(AND(Z559&lt;&gt;"",COUNTIFS($Z$9:$Z$678,Z559)&gt;1),"Téléphone",IF(AND(AA559&lt;&gt;"",COUNTIFS($AA$9:$AA$678,AA559)&gt;1),"Site web","")))</x:f>
      </x:c>
      <x:c r="J559" s="33" t="str">
        <x:v>Easy Link</x:v>
      </x:c>
      <x:c r="K559" s="33" t="str">
        <x:v>Services professionnels</x:v>
      </x:c>
      <x:c r="L559" s="33" t="str">
        <x:v>Consultants</x:v>
      </x:c>
      <x:c r="M559" s="33" t="str">
        <x:v>Conakry (à vérifier)</x:v>
      </x:c>
      <x:c r="N559" s="33" t="str"/>
      <x:c r="O559" s="33" t="str">
        <x:v>Kipé Dadia,Immeuble le Bambou, 2è Etage, Conakry, Guinée</x:v>
      </x:c>
      <x:c r="P559" s="33" t="str">
        <x:v>626 303 913</x:v>
      </x:c>
      <x:c r="Q559" s="33" t="str">
        <x:v>infos@easylinkgn.com</x:v>
      </x:c>
      <x:c r="R559" s="33" t="str">
        <x:v>https://easylinkgn.com/</x:v>
      </x:c>
      <x:c r="S559" s="33" t="str"/>
      <x:c r="T559" s="35" t="n">
        <x:v>9.6017258</x:v>
      </x:c>
      <x:c r="U559" s="35" t="n">
        <x:v>-13.6521663</x:v>
      </x:c>
      <x:c r="V559" s="33" t="str">
        <x:v>https://www.openstreetmap.org/node/6985035175</x:v>
      </x:c>
      <x:c r="W559" s="33" t="str">
        <x:v>node/6985035175</x:v>
      </x:c>
      <x:c r="X559" s="33" t="str">
        <x:v>review_required</x:v>
      </x:c>
      <x:c r="Y559" s="33" t="str">
        <x:v>easy link|conakry a verifier</x:v>
      </x:c>
      <x:c r="Z559" s="33" t="str">
        <x:v>224626303913</x:v>
      </x:c>
      <x:c r="AA559" s="33" t="str">
        <x:v>easylinkgn.com</x:v>
      </x:c>
    </x:row>
    <x:row r="560">
      <x:c r="A560" s="30" t="str">
        <x:v>À vérifier</x:v>
      </x:c>
      <x:c r="B560" s="30" t="str"/>
      <x:c r="C560" s="31"/>
      <x:c r="D560" s="30" t="str">
        <x:v>Non vérifié</x:v>
      </x:c>
      <x:c r="E560" s="30" t="str"/>
      <x:c r="F560" s="30" t="str"/>
      <x:c r="G560" s="32" t="str"/>
      <x:c r="H560" s="33" t="str">
        <x:f>IF(I560&lt;&gt;"","Doublon possible","")</x:f>
      </x:c>
      <x:c r="I560" s="33" t="str">
        <x:f>IF(COUNTIFS($Y$9:$Y$678,Y560)&gt;1,"Nom + ville",IF(AND(Z560&lt;&gt;"",COUNTIFS($Z$9:$Z$678,Z560)&gt;1),"Téléphone",IF(AND(AA560&lt;&gt;"",COUNTIFS($AA$9:$AA$678,AA560)&gt;1),"Site web","")))</x:f>
      </x:c>
      <x:c r="J560" s="33" t="str">
        <x:v>ENBACT</x:v>
      </x:c>
      <x:c r="K560" s="33" t="str">
        <x:v>Services professionnels</x:v>
      </x:c>
      <x:c r="L560" s="33" t="str">
        <x:v>Consultants</x:v>
      </x:c>
      <x:c r="M560" s="33" t="str">
        <x:v>Ratoma</x:v>
      </x:c>
      <x:c r="N560" s="33" t="str"/>
      <x:c r="O560" s="33" t="str">
        <x:v>Autoroute le Prince</x:v>
      </x:c>
      <x:c r="P560" s="33" t="str">
        <x:v>+224 622 50 16 57</x:v>
      </x:c>
      <x:c r="Q560" s="33" t="str"/>
      <x:c r="R560" s="33" t="str">
        <x:v>https://www.enbact.com</x:v>
      </x:c>
      <x:c r="S560" s="33" t="str"/>
      <x:c r="T560" s="35" t="n">
        <x:v>9.601391</x:v>
      </x:c>
      <x:c r="U560" s="35" t="n">
        <x:v>-13.6133676</x:v>
      </x:c>
      <x:c r="V560" s="33" t="str">
        <x:v>https://www.openstreetmap.org/node/9062951323</x:v>
      </x:c>
      <x:c r="W560" s="33" t="str">
        <x:v>node/9062951323</x:v>
      </x:c>
      <x:c r="X560" s="33" t="str">
        <x:v>review_required</x:v>
      </x:c>
      <x:c r="Y560" s="33" t="str">
        <x:v>enbact|ratoma</x:v>
      </x:c>
      <x:c r="Z560" s="33" t="str">
        <x:v>224622501657</x:v>
      </x:c>
      <x:c r="AA560" s="33" t="str">
        <x:v>enbact.com</x:v>
      </x:c>
    </x:row>
    <x:row r="561">
      <x:c r="A561" s="30" t="str">
        <x:v>À vérifier</x:v>
      </x:c>
      <x:c r="B561" s="30" t="str"/>
      <x:c r="C561" s="31"/>
      <x:c r="D561" s="30" t="str">
        <x:v>Non vérifié</x:v>
      </x:c>
      <x:c r="E561" s="30" t="str"/>
      <x:c r="F561" s="30" t="str"/>
      <x:c r="G561" s="32" t="str"/>
      <x:c r="H561" s="33" t="str">
        <x:f>IF(I561&lt;&gt;"","Doublon possible","")</x:f>
      </x:c>
      <x:c r="I561" s="33" t="str">
        <x:f>IF(COUNTIFS($Y$9:$Y$678,Y561)&gt;1,"Nom + ville",IF(AND(Z561&lt;&gt;"",COUNTIFS($Z$9:$Z$678,Z561)&gt;1),"Téléphone",IF(AND(AA561&lt;&gt;"",COUNTIFS($AA$9:$AA$678,AA561)&gt;1),"Site web","")))</x:f>
      </x:c>
      <x:c r="J561" s="33" t="str">
        <x:v>GENERALE DE COURTAGE</x:v>
      </x:c>
      <x:c r="K561" s="33" t="str">
        <x:v>Services professionnels</x:v>
      </x:c>
      <x:c r="L561" s="33" t="str">
        <x:v>Consultants</x:v>
      </x:c>
      <x:c r="M561" s="33" t="str">
        <x:v>CONAKRY</x:v>
      </x:c>
      <x:c r="N561" s="33" t="str"/>
      <x:c r="O561" s="33" t="str">
        <x:v>T2 Transversal 2 (T2)</x:v>
      </x:c>
      <x:c r="P561" s="33" t="str"/>
      <x:c r="Q561" s="33" t="str">
        <x:v>info@gcourtage.com</x:v>
      </x:c>
      <x:c r="R561" s="33" t="str"/>
      <x:c r="S561" s="33" t="str"/>
      <x:c r="T561" s="35" t="n">
        <x:v>9.6051902</x:v>
      </x:c>
      <x:c r="U561" s="35" t="n">
        <x:v>-13.6444813</x:v>
      </x:c>
      <x:c r="V561" s="33" t="str">
        <x:v>https://www.openstreetmap.org/node/5056867361</x:v>
      </x:c>
      <x:c r="W561" s="33" t="str">
        <x:v>node/5056867361</x:v>
      </x:c>
      <x:c r="X561" s="33" t="str">
        <x:v>review_required</x:v>
      </x:c>
      <x:c r="Y561" s="33" t="str">
        <x:v>generale de courtage|conakry</x:v>
      </x:c>
      <x:c r="Z561" s="33" t="str"/>
      <x:c r="AA561" s="33" t="str"/>
    </x:row>
    <x:row r="562">
      <x:c r="A562" s="30" t="str">
        <x:v>À vérifier</x:v>
      </x:c>
      <x:c r="B562" s="30" t="str"/>
      <x:c r="C562" s="31"/>
      <x:c r="D562" s="30" t="str">
        <x:v>Non vérifié</x:v>
      </x:c>
      <x:c r="E562" s="30" t="str"/>
      <x:c r="F562" s="30" t="str"/>
      <x:c r="G562" s="32" t="str"/>
      <x:c r="H562" s="33" t="str">
        <x:f>IF(I562&lt;&gt;"","Doublon possible","")</x:f>
      </x:c>
      <x:c r="I562" s="33" t="str">
        <x:f>IF(COUNTIFS($Y$9:$Y$678,Y562)&gt;1,"Nom + ville",IF(AND(Z562&lt;&gt;"",COUNTIFS($Z$9:$Z$678,Z562)&gt;1),"Téléphone",IF(AND(AA562&lt;&gt;"",COUNTIFS($AA$9:$AA$678,AA562)&gt;1),"Site web","")))</x:f>
      </x:c>
      <x:c r="J562" s="33" t="str">
        <x:v>GeoSynapse</x:v>
      </x:c>
      <x:c r="K562" s="33" t="str">
        <x:v>Services professionnels</x:v>
      </x:c>
      <x:c r="L562" s="33" t="str">
        <x:v>Consultants</x:v>
      </x:c>
      <x:c r="M562" s="33" t="str">
        <x:v>Conakry (à vérifier)</x:v>
      </x:c>
      <x:c r="N562" s="33" t="str"/>
      <x:c r="O562" s="33" t="str">
        <x:v>Quartier Khabitaya en face de la Bonagui, commune de Matoto, Conakry, Guinée</x:v>
      </x:c>
      <x:c r="P562" s="33" t="str">
        <x:v>+224 662953003</x:v>
      </x:c>
      <x:c r="Q562" s="33" t="str"/>
      <x:c r="R562" s="33" t="str"/>
      <x:c r="S562" s="33" t="str"/>
      <x:c r="T562" s="35" t="n">
        <x:v>9.6155067</x:v>
      </x:c>
      <x:c r="U562" s="35" t="n">
        <x:v>-13.5881135</x:v>
      </x:c>
      <x:c r="V562" s="33" t="str">
        <x:v>https://www.openstreetmap.org/node/5994002092</x:v>
      </x:c>
      <x:c r="W562" s="33" t="str">
        <x:v>node/5994002092</x:v>
      </x:c>
      <x:c r="X562" s="33" t="str">
        <x:v>review_required</x:v>
      </x:c>
      <x:c r="Y562" s="33" t="str">
        <x:v>geosynapse|conakry a verifier</x:v>
      </x:c>
      <x:c r="Z562" s="33" t="str">
        <x:v>224662953003</x:v>
      </x:c>
      <x:c r="AA562" s="33" t="str"/>
    </x:row>
    <x:row r="563">
      <x:c r="A563" s="30" t="str">
        <x:v>À vérifier</x:v>
      </x:c>
      <x:c r="B563" s="30" t="str"/>
      <x:c r="C563" s="31"/>
      <x:c r="D563" s="30" t="str">
        <x:v>Non vérifié</x:v>
      </x:c>
      <x:c r="E563" s="30" t="str"/>
      <x:c r="F563" s="30" t="str"/>
      <x:c r="G563" s="32" t="str"/>
      <x:c r="H563" s="33" t="str">
        <x:f>IF(I563&lt;&gt;"","Doublon possible","")</x:f>
      </x:c>
      <x:c r="I563" s="33" t="str">
        <x:f>IF(COUNTIFS($Y$9:$Y$678,Y563)&gt;1,"Nom + ville",IF(AND(Z563&lt;&gt;"",COUNTIFS($Z$9:$Z$678,Z563)&gt;1),"Téléphone",IF(AND(AA563&lt;&gt;"",COUNTIFS($AA$9:$AA$678,AA563)&gt;1),"Site web","")))</x:f>
      </x:c>
      <x:c r="J563" s="33" t="str">
        <x:v>Groupe GUICOPRESS</x:v>
      </x:c>
      <x:c r="K563" s="33" t="str">
        <x:v>Services professionnels</x:v>
      </x:c>
      <x:c r="L563" s="33" t="str">
        <x:v>Consultants</x:v>
      </x:c>
      <x:c r="M563" s="33" t="str">
        <x:v>Conakry (à vérifier)</x:v>
      </x:c>
      <x:c r="N563" s="33" t="str"/>
      <x:c r="O563" s="33" t="str">
        <x:v>ka003</x:v>
      </x:c>
      <x:c r="P563" s="33" t="str"/>
      <x:c r="Q563" s="33" t="str"/>
      <x:c r="R563" s="33" t="str"/>
      <x:c r="S563" s="33" t="str"/>
      <x:c r="T563" s="35" t="n">
        <x:v>9.5123417</x:v>
      </x:c>
      <x:c r="U563" s="35" t="n">
        <x:v>-13.7165583</x:v>
      </x:c>
      <x:c r="V563" s="33" t="str">
        <x:v>https://www.openstreetmap.org/node/6055842857</x:v>
      </x:c>
      <x:c r="W563" s="33" t="str">
        <x:v>node/6055842857</x:v>
      </x:c>
      <x:c r="X563" s="33" t="str">
        <x:v>review_required</x:v>
      </x:c>
      <x:c r="Y563" s="33" t="str">
        <x:v>groupe guicopress|conakry a verifier</x:v>
      </x:c>
      <x:c r="Z563" s="33" t="str"/>
      <x:c r="AA563" s="33" t="str"/>
    </x:row>
    <x:row r="564">
      <x:c r="A564" s="30" t="str">
        <x:v>À vérifier</x:v>
      </x:c>
      <x:c r="B564" s="30" t="str"/>
      <x:c r="C564" s="31"/>
      <x:c r="D564" s="30" t="str">
        <x:v>Non vérifié</x:v>
      </x:c>
      <x:c r="E564" s="30" t="str"/>
      <x:c r="F564" s="30" t="str"/>
      <x:c r="G564" s="32" t="str"/>
      <x:c r="H564" s="33" t="str">
        <x:f>IF(I564&lt;&gt;"","Doublon possible","")</x:f>
      </x:c>
      <x:c r="I564" s="33" t="str">
        <x:f>IF(COUNTIFS($Y$9:$Y$678,Y564)&gt;1,"Nom + ville",IF(AND(Z564&lt;&gt;"",COUNTIFS($Z$9:$Z$678,Z564)&gt;1),"Téléphone",IF(AND(AA564&lt;&gt;"",COUNTIFS($AA$9:$AA$678,AA564)&gt;1),"Site web","")))</x:f>
      </x:c>
      <x:c r="J564" s="33" t="str">
        <x:v>Guinea Alumina Corporation (GAC)</x:v>
      </x:c>
      <x:c r="K564" s="33" t="str">
        <x:v>Services professionnels</x:v>
      </x:c>
      <x:c r="L564" s="33" t="str">
        <x:v>Consultants</x:v>
      </x:c>
      <x:c r="M564" s="33" t="str">
        <x:v>Conakry (à vérifier)</x:v>
      </x:c>
      <x:c r="N564" s="33" t="str"/>
      <x:c r="O564" s="33" t="str"/>
      <x:c r="P564" s="33" t="str"/>
      <x:c r="Q564" s="33" t="str"/>
      <x:c r="R564" s="33" t="str">
        <x:v>https://www.gacguinee.com/fr</x:v>
      </x:c>
      <x:c r="S564" s="33" t="str"/>
      <x:c r="T564" s="35" t="n">
        <x:v>9.5756409</x:v>
      </x:c>
      <x:c r="U564" s="35" t="n">
        <x:v>-13.6645867</x:v>
      </x:c>
      <x:c r="V564" s="33" t="str">
        <x:v>https://www.openstreetmap.org/node/5861167967</x:v>
      </x:c>
      <x:c r="W564" s="33" t="str">
        <x:v>node/5861167967</x:v>
      </x:c>
      <x:c r="X564" s="33" t="str">
        <x:v>review_required</x:v>
      </x:c>
      <x:c r="Y564" s="33" t="str">
        <x:v>guinea alumina corporation gac|conakry a verifier</x:v>
      </x:c>
      <x:c r="Z564" s="33" t="str"/>
      <x:c r="AA564" s="33" t="str">
        <x:v>gacguinee.com/fr</x:v>
      </x:c>
    </x:row>
    <x:row r="565">
      <x:c r="A565" s="30" t="str">
        <x:v>À vérifier</x:v>
      </x:c>
      <x:c r="B565" s="30" t="str"/>
      <x:c r="C565" s="31"/>
      <x:c r="D565" s="30" t="str">
        <x:v>Non vérifié</x:v>
      </x:c>
      <x:c r="E565" s="30" t="str"/>
      <x:c r="F565" s="30" t="str"/>
      <x:c r="G565" s="32" t="str"/>
      <x:c r="H565" s="33" t="str">
        <x:f>IF(I565&lt;&gt;"","Doublon possible","")</x:f>
        <x:v>Doublon possible</x:v>
      </x:c>
      <x:c r="I565" s="33" t="str">
        <x:f>IF(COUNTIFS($Y$9:$Y$678,Y565)&gt;1,"Nom + ville",IF(AND(Z565&lt;&gt;"",COUNTIFS($Z$9:$Z$678,Z565)&gt;1),"Téléphone",IF(AND(AA565&lt;&gt;"",COUNTIFS($AA$9:$AA$678,AA565)&gt;1),"Site web","")))</x:f>
        <x:v>Nom + ville</x:v>
      </x:c>
      <x:c r="J565" s="33" t="str">
        <x:v>Institut National d'Assurance Maladie Obligatoire</x:v>
      </x:c>
      <x:c r="K565" s="33" t="str">
        <x:v>Services professionnels</x:v>
      </x:c>
      <x:c r="L565" s="33" t="str">
        <x:v>Consultants</x:v>
      </x:c>
      <x:c r="M565" s="33" t="str">
        <x:v>Conakry</x:v>
      </x:c>
      <x:c r="N565" s="33" t="str"/>
      <x:c r="O565" s="33" t="str">
        <x:v>3e Avenue</x:v>
      </x:c>
      <x:c r="P565" s="33" t="str">
        <x:v>+224626313102</x:v>
      </x:c>
      <x:c r="Q565" s="33" t="str"/>
      <x:c r="R565" s="33" t="str"/>
      <x:c r="S565" s="33" t="str"/>
      <x:c r="T565" s="35" t="n">
        <x:v>9.5069423</x:v>
      </x:c>
      <x:c r="U565" s="35" t="n">
        <x:v>-13.7117871</x:v>
      </x:c>
      <x:c r="V565" s="33" t="str">
        <x:v>https://www.openstreetmap.org/node/6342428849</x:v>
      </x:c>
      <x:c r="W565" s="33" t="str">
        <x:v>node/6342428849</x:v>
      </x:c>
      <x:c r="X565" s="33" t="str">
        <x:v>review_required</x:v>
      </x:c>
      <x:c r="Y565" s="33" t="str">
        <x:v>institut national d assurance maladie obligatoire|conakry</x:v>
      </x:c>
      <x:c r="Z565" s="33" t="str">
        <x:v>224626313102</x:v>
      </x:c>
      <x:c r="AA565" s="33" t="str"/>
    </x:row>
    <x:row r="566">
      <x:c r="A566" s="30" t="str">
        <x:v>À vérifier</x:v>
      </x:c>
      <x:c r="B566" s="30" t="str"/>
      <x:c r="C566" s="31"/>
      <x:c r="D566" s="30" t="str">
        <x:v>Non vérifié</x:v>
      </x:c>
      <x:c r="E566" s="30" t="str"/>
      <x:c r="F566" s="30" t="str"/>
      <x:c r="G566" s="32" t="str"/>
      <x:c r="H566" s="33" t="str">
        <x:f>IF(I566&lt;&gt;"","Doublon possible","")</x:f>
        <x:v>Doublon possible</x:v>
      </x:c>
      <x:c r="I566" s="33" t="str">
        <x:f>IF(COUNTIFS($Y$9:$Y$678,Y566)&gt;1,"Nom + ville",IF(AND(Z566&lt;&gt;"",COUNTIFS($Z$9:$Z$678,Z566)&gt;1),"Téléphone",IF(AND(AA566&lt;&gt;"",COUNTIFS($AA$9:$AA$678,AA566)&gt;1),"Site web","")))</x:f>
        <x:v>Nom + ville</x:v>
      </x:c>
      <x:c r="J566" s="33" t="str">
        <x:v>Institut National d'Assurance Maladie Obligatoire</x:v>
      </x:c>
      <x:c r="K566" s="33" t="str">
        <x:v>Services professionnels</x:v>
      </x:c>
      <x:c r="L566" s="33" t="str">
        <x:v>Consultants</x:v>
      </x:c>
      <x:c r="M566" s="33" t="str">
        <x:v>Conakry</x:v>
      </x:c>
      <x:c r="N566" s="33" t="str"/>
      <x:c r="O566" s="33" t="str">
        <x:v>3e Avenue</x:v>
      </x:c>
      <x:c r="P566" s="33" t="str">
        <x:v>+224626313102</x:v>
      </x:c>
      <x:c r="Q566" s="33" t="str"/>
      <x:c r="R566" s="33" t="str"/>
      <x:c r="S566" s="33" t="str"/>
      <x:c r="T566" s="35" t="n">
        <x:v>9.5068774</x:v>
      </x:c>
      <x:c r="U566" s="35" t="n">
        <x:v>-13.711797</x:v>
      </x:c>
      <x:c r="V566" s="33" t="str">
        <x:v>https://www.openstreetmap.org/way/552008395</x:v>
      </x:c>
      <x:c r="W566" s="33" t="str">
        <x:v>way/552008395</x:v>
      </x:c>
      <x:c r="X566" s="33" t="str">
        <x:v>review_required</x:v>
      </x:c>
      <x:c r="Y566" s="33" t="str">
        <x:v>institut national d assurance maladie obligatoire|conakry</x:v>
      </x:c>
      <x:c r="Z566" s="33" t="str">
        <x:v>224626313102</x:v>
      </x:c>
      <x:c r="AA566" s="33" t="str"/>
    </x:row>
    <x:row r="567">
      <x:c r="A567" s="30" t="str">
        <x:v>À vérifier</x:v>
      </x:c>
      <x:c r="B567" s="30" t="str"/>
      <x:c r="C567" s="31"/>
      <x:c r="D567" s="30" t="str">
        <x:v>Non vérifié</x:v>
      </x:c>
      <x:c r="E567" s="30" t="str"/>
      <x:c r="F567" s="30" t="str"/>
      <x:c r="G567" s="32" t="str"/>
      <x:c r="H567" s="33" t="str">
        <x:f>IF(I567&lt;&gt;"","Doublon possible","")</x:f>
        <x:v>Doublon possible</x:v>
      </x:c>
      <x:c r="I567" s="33" t="str">
        <x:f>IF(COUNTIFS($Y$9:$Y$678,Y567)&gt;1,"Nom + ville",IF(AND(Z567&lt;&gt;"",COUNTIFS($Z$9:$Z$678,Z567)&gt;1),"Téléphone",IF(AND(AA567&lt;&gt;"",COUNTIFS($AA$9:$AA$678,AA567)&gt;1),"Site web","")))</x:f>
        <x:v>Téléphone</x:v>
      </x:c>
      <x:c r="J567" s="33" t="str">
        <x:v>Institut Rene levesque cosa</x:v>
      </x:c>
      <x:c r="K567" s="33" t="str">
        <x:v>Services professionnels</x:v>
      </x:c>
      <x:c r="L567" s="33" t="str">
        <x:v>Consultants</x:v>
      </x:c>
      <x:c r="M567" s="33" t="str">
        <x:v>Conakry (à vérifier)</x:v>
      </x:c>
      <x:c r="N567" s="33" t="str"/>
      <x:c r="O567" s="33" t="str"/>
      <x:c r="P567" s="33" t="str">
        <x:v>622265864</x:v>
      </x:c>
      <x:c r="Q567" s="33" t="str"/>
      <x:c r="R567" s="33" t="str">
        <x:v>cfiiguinee@gmail.com</x:v>
      </x:c>
      <x:c r="S567" s="33" t="str"/>
      <x:c r="T567" s="35" t="n">
        <x:v>9.6074664</x:v>
      </x:c>
      <x:c r="U567" s="35" t="n">
        <x:v>-13.611691</x:v>
      </x:c>
      <x:c r="V567" s="33" t="str">
        <x:v>https://www.openstreetmap.org/node/9060169437</x:v>
      </x:c>
      <x:c r="W567" s="33" t="str">
        <x:v>node/9060169437</x:v>
      </x:c>
      <x:c r="X567" s="33" t="str">
        <x:v>review_required</x:v>
      </x:c>
      <x:c r="Y567" s="33" t="str">
        <x:v>institut rene levesque cosa|conakry a verifier</x:v>
      </x:c>
      <x:c r="Z567" s="33" t="str">
        <x:v>224622265864</x:v>
      </x:c>
      <x:c r="AA567" s="33" t="str">
        <x:v>gmail.com</x:v>
      </x:c>
    </x:row>
    <x:row r="568">
      <x:c r="A568" s="30" t="str">
        <x:v>À vérifier</x:v>
      </x:c>
      <x:c r="B568" s="30" t="str"/>
      <x:c r="C568" s="31"/>
      <x:c r="D568" s="30" t="str">
        <x:v>Non vérifié</x:v>
      </x:c>
      <x:c r="E568" s="30" t="str"/>
      <x:c r="F568" s="30" t="str"/>
      <x:c r="G568" s="32" t="str"/>
      <x:c r="H568" s="33" t="str">
        <x:f>IF(I568&lt;&gt;"","Doublon possible","")</x:f>
        <x:v>Doublon possible</x:v>
      </x:c>
      <x:c r="I568" s="33" t="str">
        <x:f>IF(COUNTIFS($Y$9:$Y$678,Y568)&gt;1,"Nom + ville",IF(AND(Z568&lt;&gt;"",COUNTIFS($Z$9:$Z$678,Z568)&gt;1),"Téléphone",IF(AND(AA568&lt;&gt;"",COUNTIFS($AA$9:$AA$678,AA568)&gt;1),"Site web","")))</x:f>
        <x:v>Nom + ville</x:v>
      </x:c>
      <x:c r="J568" s="33" t="str">
        <x:v>Institut Supérieur de Formation à Distance</x:v>
      </x:c>
      <x:c r="K568" s="33" t="str">
        <x:v>Services professionnels</x:v>
      </x:c>
      <x:c r="L568" s="33" t="str">
        <x:v>Consultants</x:v>
      </x:c>
      <x:c r="M568" s="33" t="str">
        <x:v>Conakry (à vérifier)</x:v>
      </x:c>
      <x:c r="N568" s="33" t="str"/>
      <x:c r="O568" s="33" t="str"/>
      <x:c r="P568" s="33" t="str">
        <x:v>621565128</x:v>
      </x:c>
      <x:c r="Q568" s="33" t="str"/>
      <x:c r="R568" s="33" t="str"/>
      <x:c r="S568" s="33" t="str"/>
      <x:c r="T568" s="35" t="n">
        <x:v>9.5988651</x:v>
      </x:c>
      <x:c r="U568" s="35" t="n">
        <x:v>-13.6495052</x:v>
      </x:c>
      <x:c r="V568" s="33" t="str">
        <x:v>https://www.openstreetmap.org/node/11955376926</x:v>
      </x:c>
      <x:c r="W568" s="33" t="str">
        <x:v>node/11955376926</x:v>
      </x:c>
      <x:c r="X568" s="33" t="str">
        <x:v>review_required</x:v>
      </x:c>
      <x:c r="Y568" s="33" t="str">
        <x:v>institut superieur de formation a distance|conakry a verifier</x:v>
      </x:c>
      <x:c r="Z568" s="33" t="str">
        <x:v>224621565128</x:v>
      </x:c>
      <x:c r="AA568" s="33" t="str"/>
    </x:row>
    <x:row r="569">
      <x:c r="A569" s="30" t="str">
        <x:v>À vérifier</x:v>
      </x:c>
      <x:c r="B569" s="30" t="str"/>
      <x:c r="C569" s="31"/>
      <x:c r="D569" s="30" t="str">
        <x:v>Non vérifié</x:v>
      </x:c>
      <x:c r="E569" s="30" t="str"/>
      <x:c r="F569" s="30" t="str"/>
      <x:c r="G569" s="32" t="str"/>
      <x:c r="H569" s="33" t="str">
        <x:f>IF(I569&lt;&gt;"","Doublon possible","")</x:f>
        <x:v>Doublon possible</x:v>
      </x:c>
      <x:c r="I569" s="33" t="str">
        <x:f>IF(COUNTIFS($Y$9:$Y$678,Y569)&gt;1,"Nom + ville",IF(AND(Z569&lt;&gt;"",COUNTIFS($Z$9:$Z$678,Z569)&gt;1),"Téléphone",IF(AND(AA569&lt;&gt;"",COUNTIFS($AA$9:$AA$678,AA569)&gt;1),"Site web","")))</x:f>
        <x:v>Nom + ville</x:v>
      </x:c>
      <x:c r="J569" s="33" t="str">
        <x:v>Institut Supérieur de Formation à Distance</x:v>
      </x:c>
      <x:c r="K569" s="33" t="str">
        <x:v>Services professionnels</x:v>
      </x:c>
      <x:c r="L569" s="33" t="str">
        <x:v>Consultants</x:v>
      </x:c>
      <x:c r="M569" s="33" t="str">
        <x:v>Conakry (à vérifier)</x:v>
      </x:c>
      <x:c r="N569" s="33" t="str"/>
      <x:c r="O569" s="33" t="str"/>
      <x:c r="P569" s="33" t="str">
        <x:v>621565128</x:v>
      </x:c>
      <x:c r="Q569" s="33" t="str"/>
      <x:c r="R569" s="33" t="str"/>
      <x:c r="S569" s="33" t="str"/>
      <x:c r="T569" s="35" t="n">
        <x:v>9.5988651</x:v>
      </x:c>
      <x:c r="U569" s="35" t="n">
        <x:v>-13.6495052</x:v>
      </x:c>
      <x:c r="V569" s="33" t="str">
        <x:v>https://www.openstreetmap.org/node/13907545150</x:v>
      </x:c>
      <x:c r="W569" s="33" t="str">
        <x:v>node/13907545150</x:v>
      </x:c>
      <x:c r="X569" s="33" t="str">
        <x:v>review_required</x:v>
      </x:c>
      <x:c r="Y569" s="33" t="str">
        <x:v>institut superieur de formation a distance|conakry a verifier</x:v>
      </x:c>
      <x:c r="Z569" s="33" t="str">
        <x:v>224621565128</x:v>
      </x:c>
      <x:c r="AA569" s="33" t="str"/>
    </x:row>
    <x:row r="570">
      <x:c r="A570" s="30" t="str">
        <x:v>À vérifier</x:v>
      </x:c>
      <x:c r="B570" s="30" t="str"/>
      <x:c r="C570" s="31"/>
      <x:c r="D570" s="30" t="str">
        <x:v>Non vérifié</x:v>
      </x:c>
      <x:c r="E570" s="30" t="str"/>
      <x:c r="F570" s="30" t="str"/>
      <x:c r="G570" s="32" t="str"/>
      <x:c r="H570" s="33" t="str">
        <x:f>IF(I570&lt;&gt;"","Doublon possible","")</x:f>
      </x:c>
      <x:c r="I570" s="33" t="str">
        <x:f>IF(COUNTIFS($Y$9:$Y$678,Y570)&gt;1,"Nom + ville",IF(AND(Z570&lt;&gt;"",COUNTIFS($Z$9:$Z$678,Z570)&gt;1),"Téléphone",IF(AND(AA570&lt;&gt;"",COUNTIFS($AA$9:$AA$678,AA570)&gt;1),"Site web","")))</x:f>
      </x:c>
      <x:c r="J570" s="33" t="str">
        <x:v>Jatropha Hub</x:v>
      </x:c>
      <x:c r="K570" s="33" t="str">
        <x:v>Services professionnels</x:v>
      </x:c>
      <x:c r="L570" s="33" t="str">
        <x:v>Consultants</x:v>
      </x:c>
      <x:c r="M570" s="33" t="str">
        <x:v>Conakry (à vérifier)</x:v>
      </x:c>
      <x:c r="N570" s="33" t="str"/>
      <x:c r="O570" s="33" t="str">
        <x:v>Kaporo Marché Académie, Conakry, Guinée</x:v>
      </x:c>
      <x:c r="P570" s="33" t="str">
        <x:v>+224 621692727</x:v>
      </x:c>
      <x:c r="Q570" s="33" t="str">
        <x:v>alphabacar@jatrophafinances.com</x:v>
      </x:c>
      <x:c r="R570" s="33" t="str">
        <x:v>http://jatrophafinances.com/index.php/jatropha-hub-2/</x:v>
      </x:c>
      <x:c r="S570" s="33" t="str"/>
      <x:c r="T570" s="35" t="n">
        <x:v>9.6125243</x:v>
      </x:c>
      <x:c r="U570" s="35" t="n">
        <x:v>-13.6396591</x:v>
      </x:c>
      <x:c r="V570" s="33" t="str">
        <x:v>https://www.openstreetmap.org/node/5998043186</x:v>
      </x:c>
      <x:c r="W570" s="33" t="str">
        <x:v>node/5998043186</x:v>
      </x:c>
      <x:c r="X570" s="33" t="str">
        <x:v>review_required</x:v>
      </x:c>
      <x:c r="Y570" s="33" t="str">
        <x:v>jatropha hub|conakry a verifier</x:v>
      </x:c>
      <x:c r="Z570" s="33" t="str">
        <x:v>224621692727</x:v>
      </x:c>
      <x:c r="AA570" s="33" t="str">
        <x:v>jatrophafinances.com/index.php/jatropha-hub-2</x:v>
      </x:c>
    </x:row>
    <x:row r="571">
      <x:c r="A571" s="30" t="str">
        <x:v>À vérifier</x:v>
      </x:c>
      <x:c r="B571" s="30" t="str"/>
      <x:c r="C571" s="31"/>
      <x:c r="D571" s="30" t="str">
        <x:v>Non vérifié</x:v>
      </x:c>
      <x:c r="E571" s="30" t="str"/>
      <x:c r="F571" s="30" t="str"/>
      <x:c r="G571" s="32" t="str"/>
      <x:c r="H571" s="33" t="str">
        <x:f>IF(I571&lt;&gt;"","Doublon possible","")</x:f>
      </x:c>
      <x:c r="I571" s="33" t="str">
        <x:f>IF(COUNTIFS($Y$9:$Y$678,Y571)&gt;1,"Nom + ville",IF(AND(Z571&lt;&gt;"",COUNTIFS($Z$9:$Z$678,Z571)&gt;1),"Téléphone",IF(AND(AA571&lt;&gt;"",COUNTIFS($AA$9:$AA$678,AA571)&gt;1),"Site web","")))</x:f>
      </x:c>
      <x:c r="J571" s="33" t="str">
        <x:v>Kama</x:v>
      </x:c>
      <x:c r="K571" s="33" t="str">
        <x:v>Services professionnels</x:v>
      </x:c>
      <x:c r="L571" s="33" t="str">
        <x:v>Consultants</x:v>
      </x:c>
      <x:c r="M571" s="33" t="str">
        <x:v>Conakry (à vérifier)</x:v>
      </x:c>
      <x:c r="N571" s="33" t="str"/>
      <x:c r="O571" s="33" t="str"/>
      <x:c r="P571" s="33" t="str">
        <x:v>628869848</x:v>
      </x:c>
      <x:c r="Q571" s="33" t="str"/>
      <x:c r="R571" s="33" t="str">
        <x:v>https://www.kama-sa.com/</x:v>
      </x:c>
      <x:c r="S571" s="33" t="str"/>
      <x:c r="T571" s="35" t="n">
        <x:v>9.5175396</x:v>
      </x:c>
      <x:c r="U571" s="35" t="n">
        <x:v>-13.7003914</x:v>
      </x:c>
      <x:c r="V571" s="33" t="str">
        <x:v>https://www.openstreetmap.org/node/5784053410</x:v>
      </x:c>
      <x:c r="W571" s="33" t="str">
        <x:v>node/5784053410</x:v>
      </x:c>
      <x:c r="X571" s="33" t="str">
        <x:v>review_required</x:v>
      </x:c>
      <x:c r="Y571" s="33" t="str">
        <x:v>kama|conakry a verifier</x:v>
      </x:c>
      <x:c r="Z571" s="33" t="str">
        <x:v>224628869848</x:v>
      </x:c>
      <x:c r="AA571" s="33" t="str">
        <x:v>kama-sa.com</x:v>
      </x:c>
    </x:row>
    <x:row r="572">
      <x:c r="A572" s="30" t="str">
        <x:v>À vérifier</x:v>
      </x:c>
      <x:c r="B572" s="30" t="str"/>
      <x:c r="C572" s="31"/>
      <x:c r="D572" s="30" t="str">
        <x:v>Non vérifié</x:v>
      </x:c>
      <x:c r="E572" s="30" t="str"/>
      <x:c r="F572" s="30" t="str"/>
      <x:c r="G572" s="32" t="str"/>
      <x:c r="H572" s="33" t="str">
        <x:f>IF(I572&lt;&gt;"","Doublon possible","")</x:f>
        <x:v>Doublon possible</x:v>
      </x:c>
      <x:c r="I572" s="33" t="str">
        <x:f>IF(COUNTIFS($Y$9:$Y$678,Y572)&gt;1,"Nom + ville",IF(AND(Z572&lt;&gt;"",COUNTIFS($Z$9:$Z$678,Z572)&gt;1),"Téléphone",IF(AND(AA572&lt;&gt;"",COUNTIFS($AA$9:$AA$678,AA572)&gt;1),"Site web","")))</x:f>
        <x:v>Nom + ville</x:v>
      </x:c>
      <x:c r="J572" s="33" t="str">
        <x:v>KOULA TECHNOLOGY ENTERPRISE</x:v>
      </x:c>
      <x:c r="K572" s="33" t="str">
        <x:v>Services professionnels</x:v>
      </x:c>
      <x:c r="L572" s="33" t="str">
        <x:v>Consultants</x:v>
      </x:c>
      <x:c r="M572" s="33" t="str">
        <x:v>CONAKRY</x:v>
      </x:c>
      <x:c r="N572" s="33" t="str"/>
      <x:c r="O572" s="33" t="str">
        <x:v>912 912 BAILOBAYAH CENTRE SECTEUR 2 AFRIKIA</x:v>
      </x:c>
      <x:c r="P572" s="33" t="str">
        <x:v>+224 627 48 81 29</x:v>
      </x:c>
      <x:c r="Q572" s="33" t="str"/>
      <x:c r="R572" s="33" t="str">
        <x:v>https://mystockgn.com/</x:v>
      </x:c>
      <x:c r="S572" s="33" t="str"/>
      <x:c r="T572" s="35" t="n">
        <x:v>9.6883259</x:v>
      </x:c>
      <x:c r="U572" s="35" t="n">
        <x:v>-13.5202858</x:v>
      </x:c>
      <x:c r="V572" s="33" t="str">
        <x:v>https://www.openstreetmap.org/node/11425554960</x:v>
      </x:c>
      <x:c r="W572" s="33" t="str">
        <x:v>node/11425554960</x:v>
      </x:c>
      <x:c r="X572" s="33" t="str">
        <x:v>review_required</x:v>
      </x:c>
      <x:c r="Y572" s="33" t="str">
        <x:v>koula technology enterprise|conakry</x:v>
      </x:c>
      <x:c r="Z572" s="33" t="str">
        <x:v>224627488129</x:v>
      </x:c>
      <x:c r="AA572" s="33" t="str">
        <x:v>mystockgn.com</x:v>
      </x:c>
    </x:row>
    <x:row r="573">
      <x:c r="A573" s="30" t="str">
        <x:v>À vérifier</x:v>
      </x:c>
      <x:c r="B573" s="30" t="str"/>
      <x:c r="C573" s="31"/>
      <x:c r="D573" s="30" t="str">
        <x:v>Non vérifié</x:v>
      </x:c>
      <x:c r="E573" s="30" t="str"/>
      <x:c r="F573" s="30" t="str"/>
      <x:c r="G573" s="32" t="str"/>
      <x:c r="H573" s="33" t="str">
        <x:f>IF(I573&lt;&gt;"","Doublon possible","")</x:f>
        <x:v>Doublon possible</x:v>
      </x:c>
      <x:c r="I573" s="33" t="str">
        <x:f>IF(COUNTIFS($Y$9:$Y$678,Y573)&gt;1,"Nom + ville",IF(AND(Z573&lt;&gt;"",COUNTIFS($Z$9:$Z$678,Z573)&gt;1),"Téléphone",IF(AND(AA573&lt;&gt;"",COUNTIFS($AA$9:$AA$678,AA573)&gt;1),"Site web","")))</x:f>
        <x:v>Nom + ville</x:v>
      </x:c>
      <x:c r="J573" s="33" t="str">
        <x:v>KOULA TECHNOLOGY ENTERPRISE</x:v>
      </x:c>
      <x:c r="K573" s="33" t="str">
        <x:v>Services professionnels</x:v>
      </x:c>
      <x:c r="L573" s="33" t="str">
        <x:v>Consultants</x:v>
      </x:c>
      <x:c r="M573" s="33" t="str">
        <x:v>CONAKRY</x:v>
      </x:c>
      <x:c r="N573" s="33" t="str"/>
      <x:c r="O573" s="33" t="str">
        <x:v>123 123, BAYLOBAYAH CENTRE/DUBREKA</x:v>
      </x:c>
      <x:c r="P573" s="33" t="str">
        <x:v>+224627488129</x:v>
      </x:c>
      <x:c r="Q573" s="33" t="str"/>
      <x:c r="R573" s="33" t="str">
        <x:v>https://mystockgn.com/</x:v>
      </x:c>
      <x:c r="S573" s="33" t="str"/>
      <x:c r="T573" s="35" t="n">
        <x:v>9.6883262</x:v>
      </x:c>
      <x:c r="U573" s="35" t="n">
        <x:v>-13.5202826</x:v>
      </x:c>
      <x:c r="V573" s="33" t="str">
        <x:v>https://www.openstreetmap.org/way/1231897108</x:v>
      </x:c>
      <x:c r="W573" s="33" t="str">
        <x:v>way/1231897108</x:v>
      </x:c>
      <x:c r="X573" s="33" t="str">
        <x:v>review_required</x:v>
      </x:c>
      <x:c r="Y573" s="33" t="str">
        <x:v>koula technology enterprise|conakry</x:v>
      </x:c>
      <x:c r="Z573" s="33" t="str">
        <x:v>224627488129</x:v>
      </x:c>
      <x:c r="AA573" s="33" t="str">
        <x:v>mystockgn.com</x:v>
      </x:c>
    </x:row>
    <x:row r="574">
      <x:c r="A574" s="30" t="str">
        <x:v>À vérifier</x:v>
      </x:c>
      <x:c r="B574" s="30" t="str"/>
      <x:c r="C574" s="31"/>
      <x:c r="D574" s="30" t="str">
        <x:v>Non vérifié</x:v>
      </x:c>
      <x:c r="E574" s="30" t="str"/>
      <x:c r="F574" s="30" t="str"/>
      <x:c r="G574" s="32" t="str"/>
      <x:c r="H574" s="33" t="str">
        <x:f>IF(I574&lt;&gt;"","Doublon possible","")</x:f>
      </x:c>
      <x:c r="I574" s="33" t="str">
        <x:f>IF(COUNTIFS($Y$9:$Y$678,Y574)&gt;1,"Nom + ville",IF(AND(Z574&lt;&gt;"",COUNTIFS($Z$9:$Z$678,Z574)&gt;1),"Téléphone",IF(AND(AA574&lt;&gt;"",COUNTIFS($AA$9:$AA$678,AA574)&gt;1),"Site web","")))</x:f>
      </x:c>
      <x:c r="J574" s="33" t="str">
        <x:v>Maintenance Ordinateur Chez Mamadou Dian</x:v>
      </x:c>
      <x:c r="K574" s="33" t="str">
        <x:v>Services professionnels</x:v>
      </x:c>
      <x:c r="L574" s="33" t="str">
        <x:v>Consultants</x:v>
      </x:c>
      <x:c r="M574" s="33" t="str">
        <x:v>Conakry (à vérifier)</x:v>
      </x:c>
      <x:c r="N574" s="33" t="str"/>
      <x:c r="O574" s="33" t="str">
        <x:v>Autoroute Le Prince</x:v>
      </x:c>
      <x:c r="P574" s="33" t="str"/>
      <x:c r="Q574" s="33" t="str"/>
      <x:c r="R574" s="33" t="str"/>
      <x:c r="S574" s="33" t="str"/>
      <x:c r="T574" s="35" t="n">
        <x:v>9.6305386</x:v>
      </x:c>
      <x:c r="U574" s="35" t="n">
        <x:v>-13.5920198</x:v>
      </x:c>
      <x:c r="V574" s="33" t="str">
        <x:v>https://www.openstreetmap.org/node/9925409128</x:v>
      </x:c>
      <x:c r="W574" s="33" t="str">
        <x:v>node/9925409128</x:v>
      </x:c>
      <x:c r="X574" s="33" t="str">
        <x:v>review_required</x:v>
      </x:c>
      <x:c r="Y574" s="33" t="str">
        <x:v>maintenance ordinateur chez mamadou dian|conakry a verifier</x:v>
      </x:c>
      <x:c r="Z574" s="33" t="str"/>
      <x:c r="AA574" s="33" t="str"/>
    </x:row>
    <x:row r="575">
      <x:c r="A575" s="30" t="str">
        <x:v>À vérifier</x:v>
      </x:c>
      <x:c r="B575" s="30" t="str"/>
      <x:c r="C575" s="31"/>
      <x:c r="D575" s="30" t="str">
        <x:v>Non vérifié</x:v>
      </x:c>
      <x:c r="E575" s="30" t="str"/>
      <x:c r="F575" s="30" t="str"/>
      <x:c r="G575" s="32" t="str"/>
      <x:c r="H575" s="33" t="str">
        <x:f>IF(I575&lt;&gt;"","Doublon possible","")</x:f>
      </x:c>
      <x:c r="I575" s="33" t="str">
        <x:f>IF(COUNTIFS($Y$9:$Y$678,Y575)&gt;1,"Nom + ville",IF(AND(Z575&lt;&gt;"",COUNTIFS($Z$9:$Z$678,Z575)&gt;1),"Téléphone",IF(AND(AA575&lt;&gt;"",COUNTIFS($AA$9:$AA$678,AA575)&gt;1),"Site web","")))</x:f>
      </x:c>
      <x:c r="J575" s="33" t="str">
        <x:v>Maison de la Presse Guinéenne</x:v>
      </x:c>
      <x:c r="K575" s="33" t="str">
        <x:v>Services professionnels</x:v>
      </x:c>
      <x:c r="L575" s="33" t="str">
        <x:v>Consultants</x:v>
      </x:c>
      <x:c r="M575" s="33" t="str">
        <x:v>Conakry (à vérifier)</x:v>
      </x:c>
      <x:c r="N575" s="33" t="str"/>
      <x:c r="O575" s="33" t="str"/>
      <x:c r="P575" s="33" t="str"/>
      <x:c r="Q575" s="33" t="str"/>
      <x:c r="R575" s="33" t="str">
        <x:v>http://www.mdpguinee.org</x:v>
      </x:c>
      <x:c r="S575" s="33" t="str"/>
      <x:c r="T575" s="35" t="n">
        <x:v>9.5973165</x:v>
      </x:c>
      <x:c r="U575" s="35" t="n">
        <x:v>-13.6529188</x:v>
      </x:c>
      <x:c r="V575" s="33" t="str">
        <x:v>https://www.openstreetmap.org/node/6646283922</x:v>
      </x:c>
      <x:c r="W575" s="33" t="str">
        <x:v>node/6646283922</x:v>
      </x:c>
      <x:c r="X575" s="33" t="str">
        <x:v>review_required</x:v>
      </x:c>
      <x:c r="Y575" s="33" t="str">
        <x:v>maison de la presse guineenne|conakry a verifier</x:v>
      </x:c>
      <x:c r="Z575" s="33" t="str"/>
      <x:c r="AA575" s="33" t="str">
        <x:v>mdpguinee.org</x:v>
      </x:c>
    </x:row>
    <x:row r="576">
      <x:c r="A576" s="30" t="str">
        <x:v>À vérifier</x:v>
      </x:c>
      <x:c r="B576" s="30" t="str"/>
      <x:c r="C576" s="31"/>
      <x:c r="D576" s="30" t="str">
        <x:v>Non vérifié</x:v>
      </x:c>
      <x:c r="E576" s="30" t="str"/>
      <x:c r="F576" s="30" t="str"/>
      <x:c r="G576" s="32" t="str"/>
      <x:c r="H576" s="33" t="str">
        <x:f>IF(I576&lt;&gt;"","Doublon possible","")</x:f>
      </x:c>
      <x:c r="I576" s="33" t="str">
        <x:f>IF(COUNTIFS($Y$9:$Y$678,Y576)&gt;1,"Nom + ville",IF(AND(Z576&lt;&gt;"",COUNTIFS($Z$9:$Z$678,Z576)&gt;1),"Téléphone",IF(AND(AA576&lt;&gt;"",COUNTIFS($AA$9:$AA$678,AA576)&gt;1),"Site web","")))</x:f>
      </x:c>
      <x:c r="J576" s="33" t="str">
        <x:v>Mame Voyages</x:v>
      </x:c>
      <x:c r="K576" s="33" t="str">
        <x:v>Services professionnels</x:v>
      </x:c>
      <x:c r="L576" s="33" t="str">
        <x:v>Consultants</x:v>
      </x:c>
      <x:c r="M576" s="33" t="str">
        <x:v>Conakry (à vérifier)</x:v>
      </x:c>
      <x:c r="N576" s="33" t="str"/>
      <x:c r="O576" s="33" t="str"/>
      <x:c r="P576" s="33" t="str">
        <x:v>622501904</x:v>
      </x:c>
      <x:c r="Q576" s="33" t="str">
        <x:v>mamevoyages@gmail.com</x:v>
      </x:c>
      <x:c r="R576" s="33" t="str"/>
      <x:c r="S576" s="33" t="str"/>
      <x:c r="T576" s="35" t="n">
        <x:v>9.5685107</x:v>
      </x:c>
      <x:c r="U576" s="35" t="n">
        <x:v>-13.6370075</x:v>
      </x:c>
      <x:c r="V576" s="33" t="str">
        <x:v>https://www.openstreetmap.org/node/6179201322</x:v>
      </x:c>
      <x:c r="W576" s="33" t="str">
        <x:v>node/6179201322</x:v>
      </x:c>
      <x:c r="X576" s="33" t="str">
        <x:v>review_required</x:v>
      </x:c>
      <x:c r="Y576" s="33" t="str">
        <x:v>mame voyages|conakry a verifier</x:v>
      </x:c>
      <x:c r="Z576" s="33" t="str">
        <x:v>224622501904</x:v>
      </x:c>
      <x:c r="AA576" s="33" t="str"/>
    </x:row>
    <x:row r="577">
      <x:c r="A577" s="30" t="str">
        <x:v>À vérifier</x:v>
      </x:c>
      <x:c r="B577" s="30" t="str"/>
      <x:c r="C577" s="31"/>
      <x:c r="D577" s="30" t="str">
        <x:v>Non vérifié</x:v>
      </x:c>
      <x:c r="E577" s="30" t="str"/>
      <x:c r="F577" s="30" t="str"/>
      <x:c r="G577" s="32" t="str"/>
      <x:c r="H577" s="33" t="str">
        <x:f>IF(I577&lt;&gt;"","Doublon possible","")</x:f>
      </x:c>
      <x:c r="I577" s="33" t="str">
        <x:f>IF(COUNTIFS($Y$9:$Y$678,Y577)&gt;1,"Nom + ville",IF(AND(Z577&lt;&gt;"",COUNTIFS($Z$9:$Z$678,Z577)&gt;1),"Téléphone",IF(AND(AA577&lt;&gt;"",COUNTIFS($AA$9:$AA$678,AA577)&gt;1),"Site web","")))</x:f>
      </x:c>
      <x:c r="J577" s="33" t="str">
        <x:v>Mandats transport</x:v>
      </x:c>
      <x:c r="K577" s="33" t="str">
        <x:v>Services professionnels</x:v>
      </x:c>
      <x:c r="L577" s="33" t="str">
        <x:v>Consultants</x:v>
      </x:c>
      <x:c r="M577" s="33" t="str">
        <x:v>Conakry (à vérifier)</x:v>
      </x:c>
      <x:c r="N577" s="33" t="str"/>
      <x:c r="O577" s="33" t="str"/>
      <x:c r="P577" s="33" t="str">
        <x:v>+224622207339</x:v>
      </x:c>
      <x:c r="Q577" s="33" t="str">
        <x:v>landayatransit@gmail.com</x:v>
      </x:c>
      <x:c r="R577" s="33" t="str"/>
      <x:c r="S577" s="33" t="str"/>
      <x:c r="T577" s="35" t="n">
        <x:v>9.5378797</x:v>
      </x:c>
      <x:c r="U577" s="35" t="n">
        <x:v>-13.6672339</x:v>
      </x:c>
      <x:c r="V577" s="33" t="str">
        <x:v>https://www.openstreetmap.org/node/5946472606</x:v>
      </x:c>
      <x:c r="W577" s="33" t="str">
        <x:v>node/5946472606</x:v>
      </x:c>
      <x:c r="X577" s="33" t="str">
        <x:v>review_required</x:v>
      </x:c>
      <x:c r="Y577" s="33" t="str">
        <x:v>mandats transport|conakry a verifier</x:v>
      </x:c>
      <x:c r="Z577" s="33" t="str">
        <x:v>224622207339</x:v>
      </x:c>
      <x:c r="AA577" s="33" t="str"/>
    </x:row>
    <x:row r="578">
      <x:c r="A578" s="30" t="str">
        <x:v>À vérifier</x:v>
      </x:c>
      <x:c r="B578" s="30" t="str"/>
      <x:c r="C578" s="31"/>
      <x:c r="D578" s="30" t="str">
        <x:v>Non vérifié</x:v>
      </x:c>
      <x:c r="E578" s="30" t="str"/>
      <x:c r="F578" s="30" t="str"/>
      <x:c r="G578" s="32" t="str"/>
      <x:c r="H578" s="33" t="str">
        <x:f>IF(I578&lt;&gt;"","Doublon possible","")</x:f>
      </x:c>
      <x:c r="I578" s="33" t="str">
        <x:f>IF(COUNTIFS($Y$9:$Y$678,Y578)&gt;1,"Nom + ville",IF(AND(Z578&lt;&gt;"",COUNTIFS($Z$9:$Z$678,Z578)&gt;1),"Téléphone",IF(AND(AA578&lt;&gt;"",COUNTIFS($AA$9:$AA$678,AA578)&gt;1),"Site web","")))</x:f>
      </x:c>
      <x:c r="J578" s="33" t="str">
        <x:v>Mosmart Guinée</x:v>
      </x:c>
      <x:c r="K578" s="33" t="str">
        <x:v>Services professionnels</x:v>
      </x:c>
      <x:c r="L578" s="33" t="str">
        <x:v>Consultants</x:v>
      </x:c>
      <x:c r="M578" s="33" t="str">
        <x:v>Conakry (à vérifier)</x:v>
      </x:c>
      <x:c r="N578" s="33" t="str"/>
      <x:c r="O578" s="33" t="str"/>
      <x:c r="P578" s="33" t="str">
        <x:v>+224664900900</x:v>
      </x:c>
      <x:c r="Q578" s="33" t="str">
        <x:v>dg@mosmartguinee.com</x:v>
      </x:c>
      <x:c r="R578" s="33" t="str">
        <x:v>http://www.mosmartguinee.com</x:v>
      </x:c>
      <x:c r="S578" s="33" t="str"/>
      <x:c r="T578" s="35" t="n">
        <x:v>9.5141397</x:v>
      </x:c>
      <x:c r="U578" s="35" t="n">
        <x:v>-13.7073083</x:v>
      </x:c>
      <x:c r="V578" s="33" t="str">
        <x:v>https://www.openstreetmap.org/node/6435913385</x:v>
      </x:c>
      <x:c r="W578" s="33" t="str">
        <x:v>node/6435913385</x:v>
      </x:c>
      <x:c r="X578" s="33" t="str">
        <x:v>review_required</x:v>
      </x:c>
      <x:c r="Y578" s="33" t="str">
        <x:v>mosmart guinee|conakry a verifier</x:v>
      </x:c>
      <x:c r="Z578" s="33" t="str">
        <x:v>224664900900</x:v>
      </x:c>
      <x:c r="AA578" s="33" t="str">
        <x:v>mosmartguinee.com</x:v>
      </x:c>
    </x:row>
    <x:row r="579">
      <x:c r="A579" s="30" t="str">
        <x:v>À vérifier</x:v>
      </x:c>
      <x:c r="B579" s="30" t="str"/>
      <x:c r="C579" s="31"/>
      <x:c r="D579" s="30" t="str">
        <x:v>Non vérifié</x:v>
      </x:c>
      <x:c r="E579" s="30" t="str"/>
      <x:c r="F579" s="30" t="str"/>
      <x:c r="G579" s="32" t="str"/>
      <x:c r="H579" s="33" t="str">
        <x:f>IF(I579&lt;&gt;"","Doublon possible","")</x:f>
      </x:c>
      <x:c r="I579" s="33" t="str">
        <x:f>IF(COUNTIFS($Y$9:$Y$678,Y579)&gt;1,"Nom + ville",IF(AND(Z579&lt;&gt;"",COUNTIFS($Z$9:$Z$678,Z579)&gt;1),"Téléphone",IF(AND(AA579&lt;&gt;"",COUNTIFS($AA$9:$AA$678,AA579)&gt;1),"Site web","")))</x:f>
      </x:c>
      <x:c r="J579" s="33" t="str">
        <x:v>MTN Guinée (Areeba)</x:v>
      </x:c>
      <x:c r="K579" s="33" t="str">
        <x:v>Services professionnels</x:v>
      </x:c>
      <x:c r="L579" s="33" t="str">
        <x:v>Consultants</x:v>
      </x:c>
      <x:c r="M579" s="33" t="str">
        <x:v>Conakry</x:v>
      </x:c>
      <x:c r="N579" s="33" t="str"/>
      <x:c r="O579" s="33" t="str">
        <x:v>6e Boulevard</x:v>
      </x:c>
      <x:c r="P579" s="33" t="str">
        <x:v>+224 664 22 22 22</x:v>
      </x:c>
      <x:c r="Q579" s="33" t="str"/>
      <x:c r="R579" s="33" t="str">
        <x:v>https://www.mtn.com.gn/</x:v>
      </x:c>
      <x:c r="S579" s="33" t="str"/>
      <x:c r="T579" s="35" t="n">
        <x:v>9.5098804</x:v>
      </x:c>
      <x:c r="U579" s="35" t="n">
        <x:v>-13.7101232</x:v>
      </x:c>
      <x:c r="V579" s="33" t="str">
        <x:v>https://www.openstreetmap.org/way/550007049</x:v>
      </x:c>
      <x:c r="W579" s="33" t="str">
        <x:v>way/550007049</x:v>
      </x:c>
      <x:c r="X579" s="33" t="str">
        <x:v>review_required</x:v>
      </x:c>
      <x:c r="Y579" s="33" t="str">
        <x:v>mtn guinee areeba|conakry</x:v>
      </x:c>
      <x:c r="Z579" s="33" t="str">
        <x:v>224664222222</x:v>
      </x:c>
      <x:c r="AA579" s="33" t="str">
        <x:v>mtn.com.gn</x:v>
      </x:c>
    </x:row>
    <x:row r="580">
      <x:c r="A580" s="30" t="str">
        <x:v>À vérifier</x:v>
      </x:c>
      <x:c r="B580" s="30" t="str"/>
      <x:c r="C580" s="31"/>
      <x:c r="D580" s="30" t="str">
        <x:v>Non vérifié</x:v>
      </x:c>
      <x:c r="E580" s="30" t="str"/>
      <x:c r="F580" s="30" t="str"/>
      <x:c r="G580" s="32" t="str"/>
      <x:c r="H580" s="33" t="str">
        <x:f>IF(I580&lt;&gt;"","Doublon possible","")</x:f>
      </x:c>
      <x:c r="I580" s="33" t="str">
        <x:f>IF(COUNTIFS($Y$9:$Y$678,Y580)&gt;1,"Nom + ville",IF(AND(Z580&lt;&gt;"",COUNTIFS($Z$9:$Z$678,Z580)&gt;1),"Téléphone",IF(AND(AA580&lt;&gt;"",COUNTIFS($AA$9:$AA$678,AA580)&gt;1),"Site web","")))</x:f>
      </x:c>
      <x:c r="J580" s="33" t="str">
        <x:v>MU Kréa+</x:v>
      </x:c>
      <x:c r="K580" s="33" t="str">
        <x:v>Services professionnels</x:v>
      </x:c>
      <x:c r="L580" s="33" t="str">
        <x:v>Consultants</x:v>
      </x:c>
      <x:c r="M580" s="33" t="str">
        <x:v>Ratoma</x:v>
      </x:c>
      <x:c r="N580" s="33" t="str"/>
      <x:c r="O580" s="33" t="str">
        <x:v>Autoroute le Prince</x:v>
      </x:c>
      <x:c r="P580" s="33" t="str">
        <x:v>+224 612365723</x:v>
      </x:c>
      <x:c r="Q580" s="33" t="str"/>
      <x:c r="R580" s="33" t="str"/>
      <x:c r="S580" s="33" t="str"/>
      <x:c r="T580" s="35" t="n">
        <x:v>9.6305699</x:v>
      </x:c>
      <x:c r="U580" s="35" t="n">
        <x:v>-13.5919842</x:v>
      </x:c>
      <x:c r="V580" s="33" t="str">
        <x:v>https://www.openstreetmap.org/node/12487305032</x:v>
      </x:c>
      <x:c r="W580" s="33" t="str">
        <x:v>node/12487305032</x:v>
      </x:c>
      <x:c r="X580" s="33" t="str">
        <x:v>review_required</x:v>
      </x:c>
      <x:c r="Y580" s="33" t="str">
        <x:v>mu krea|ratoma</x:v>
      </x:c>
      <x:c r="Z580" s="33" t="str">
        <x:v>224612365723</x:v>
      </x:c>
      <x:c r="AA580" s="33" t="str"/>
    </x:row>
    <x:row r="581">
      <x:c r="A581" s="30" t="str">
        <x:v>À vérifier</x:v>
      </x:c>
      <x:c r="B581" s="30" t="str"/>
      <x:c r="C581" s="31"/>
      <x:c r="D581" s="30" t="str">
        <x:v>Non vérifié</x:v>
      </x:c>
      <x:c r="E581" s="30" t="str"/>
      <x:c r="F581" s="30" t="str"/>
      <x:c r="G581" s="32" t="str"/>
      <x:c r="H581" s="33" t="str">
        <x:f>IF(I581&lt;&gt;"","Doublon possible","")</x:f>
      </x:c>
      <x:c r="I581" s="33" t="str">
        <x:f>IF(COUNTIFS($Y$9:$Y$678,Y581)&gt;1,"Nom + ville",IF(AND(Z581&lt;&gt;"",COUNTIFS($Z$9:$Z$678,Z581)&gt;1),"Téléphone",IF(AND(AA581&lt;&gt;"",COUNTIFS($AA$9:$AA$678,AA581)&gt;1),"Site web","")))</x:f>
      </x:c>
      <x:c r="J581" s="33" t="str">
        <x:v>Orange Guinée SA</x:v>
      </x:c>
      <x:c r="K581" s="33" t="str">
        <x:v>Services professionnels</x:v>
      </x:c>
      <x:c r="L581" s="33" t="str">
        <x:v>Consultants</x:v>
      </x:c>
      <x:c r="M581" s="33" t="str">
        <x:v>Conakry</x:v>
      </x:c>
      <x:c r="N581" s="33" t="str">
        <x:v>Dixinn</x:v>
      </x:c>
      <x:c r="O581" s="33" t="str">
        <x:v>Donka, Cité ministérielle</x:v>
      </x:c>
      <x:c r="P581" s="33" t="str"/>
      <x:c r="Q581" s="33" t="str"/>
      <x:c r="R581" s="33" t="str">
        <x:v>https://www.orange-guinee.com/</x:v>
      </x:c>
      <x:c r="S581" s="33" t="str"/>
      <x:c r="T581" s="35" t="n">
        <x:v>9.5420567</x:v>
      </x:c>
      <x:c r="U581" s="35" t="n">
        <x:v>-13.6809849</x:v>
      </x:c>
      <x:c r="V581" s="33" t="str">
        <x:v>https://www.openstreetmap.org/node/4394661379</x:v>
      </x:c>
      <x:c r="W581" s="33" t="str">
        <x:v>node/4394661379</x:v>
      </x:c>
      <x:c r="X581" s="33" t="str">
        <x:v>review_required</x:v>
      </x:c>
      <x:c r="Y581" s="33" t="str">
        <x:v>orange guinee sa|conakry</x:v>
      </x:c>
      <x:c r="Z581" s="33" t="str"/>
      <x:c r="AA581" s="33" t="str">
        <x:v>orange-guinee.com</x:v>
      </x:c>
    </x:row>
    <x:row r="582">
      <x:c r="A582" s="30" t="str">
        <x:v>À vérifier</x:v>
      </x:c>
      <x:c r="B582" s="30" t="str"/>
      <x:c r="C582" s="31"/>
      <x:c r="D582" s="30" t="str">
        <x:v>Non vérifié</x:v>
      </x:c>
      <x:c r="E582" s="30" t="str"/>
      <x:c r="F582" s="30" t="str"/>
      <x:c r="G582" s="32" t="str"/>
      <x:c r="H582" s="33" t="str">
        <x:f>IF(I582&lt;&gt;"","Doublon possible","")</x:f>
        <x:v>Doublon possible</x:v>
      </x:c>
      <x:c r="I582" s="33" t="str">
        <x:f>IF(COUNTIFS($Y$9:$Y$678,Y582)&gt;1,"Nom + ville",IF(AND(Z582&lt;&gt;"",COUNTIFS($Z$9:$Z$678,Z582)&gt;1),"Téléphone",IF(AND(AA582&lt;&gt;"",COUNTIFS($AA$9:$AA$678,AA582)&gt;1),"Site web","")))</x:f>
        <x:v>Téléphone</x:v>
      </x:c>
      <x:c r="J582" s="33" t="str">
        <x:v>Promopharm</x:v>
      </x:c>
      <x:c r="K582" s="33" t="str">
        <x:v>Services professionnels</x:v>
      </x:c>
      <x:c r="L582" s="33" t="str">
        <x:v>Consultants</x:v>
      </x:c>
      <x:c r="M582" s="33" t="str">
        <x:v>Conakry (à vérifier)</x:v>
      </x:c>
      <x:c r="N582" s="33" t="str"/>
      <x:c r="O582" s="33" t="str">
        <x:v>Carrefour Seboule</x:v>
      </x:c>
      <x:c r="P582" s="33" t="str">
        <x:v>+224622200200</x:v>
      </x:c>
      <x:c r="Q582" s="33" t="str">
        <x:v>promopharmguinee@gmail.com</x:v>
      </x:c>
      <x:c r="R582" s="33" t="str"/>
      <x:c r="S582" s="33" t="str"/>
      <x:c r="T582" s="35" t="n">
        <x:v>9.6335413</x:v>
      </x:c>
      <x:c r="U582" s="35" t="n">
        <x:v>-13.6046916</x:v>
      </x:c>
      <x:c r="V582" s="33" t="str">
        <x:v>https://www.openstreetmap.org/node/5810957853</x:v>
      </x:c>
      <x:c r="W582" s="33" t="str">
        <x:v>node/5810957853</x:v>
      </x:c>
      <x:c r="X582" s="33" t="str">
        <x:v>review_required</x:v>
      </x:c>
      <x:c r="Y582" s="33" t="str">
        <x:v>promopharm|conakry a verifier</x:v>
      </x:c>
      <x:c r="Z582" s="33" t="str">
        <x:v>224622200200</x:v>
      </x:c>
      <x:c r="AA582" s="33" t="str"/>
    </x:row>
    <x:row r="583">
      <x:c r="A583" s="30" t="str">
        <x:v>À vérifier</x:v>
      </x:c>
      <x:c r="B583" s="30" t="str"/>
      <x:c r="C583" s="31"/>
      <x:c r="D583" s="30" t="str">
        <x:v>Non vérifié</x:v>
      </x:c>
      <x:c r="E583" s="30" t="str"/>
      <x:c r="F583" s="30" t="str"/>
      <x:c r="G583" s="32" t="str"/>
      <x:c r="H583" s="33" t="str">
        <x:f>IF(I583&lt;&gt;"","Doublon possible","")</x:f>
      </x:c>
      <x:c r="I583" s="33" t="str">
        <x:f>IF(COUNTIFS($Y$9:$Y$678,Y583)&gt;1,"Nom + ville",IF(AND(Z583&lt;&gt;"",COUNTIFS($Z$9:$Z$678,Z583)&gt;1),"Téléphone",IF(AND(AA583&lt;&gt;"",COUNTIFS($AA$9:$AA$678,AA583)&gt;1),"Site web","")))</x:f>
      </x:c>
      <x:c r="J583" s="33" t="str">
        <x:v>Rio Tinto Simfer</x:v>
      </x:c>
      <x:c r="K583" s="33" t="str">
        <x:v>Services professionnels</x:v>
      </x:c>
      <x:c r="L583" s="33" t="str">
        <x:v>Consultants</x:v>
      </x:c>
      <x:c r="M583" s="33" t="str">
        <x:v>Conakry (à vérifier)</x:v>
      </x:c>
      <x:c r="N583" s="33" t="str"/>
      <x:c r="O583" s="33" t="str">
        <x:v>Route niger</x:v>
      </x:c>
      <x:c r="P583" s="33" t="str"/>
      <x:c r="Q583" s="33" t="str"/>
      <x:c r="R583" s="33" t="str">
        <x:v>https://www.simfer-sa.com/</x:v>
      </x:c>
      <x:c r="S583" s="33" t="str"/>
      <x:c r="T583" s="35" t="n">
        <x:v>9.5278226</x:v>
      </x:c>
      <x:c r="U583" s="35" t="n">
        <x:v>-13.6832863</x:v>
      </x:c>
      <x:c r="V583" s="33" t="str">
        <x:v>https://www.openstreetmap.org/node/13938561472</x:v>
      </x:c>
      <x:c r="W583" s="33" t="str">
        <x:v>node/13938561472</x:v>
      </x:c>
      <x:c r="X583" s="33" t="str">
        <x:v>review_required</x:v>
      </x:c>
      <x:c r="Y583" s="33" t="str">
        <x:v>rio tinto simfer|conakry a verifier</x:v>
      </x:c>
      <x:c r="Z583" s="33" t="str"/>
      <x:c r="AA583" s="33" t="str">
        <x:v>simfer-sa.com</x:v>
      </x:c>
    </x:row>
    <x:row r="584">
      <x:c r="A584" s="30" t="str">
        <x:v>À vérifier</x:v>
      </x:c>
      <x:c r="B584" s="30" t="str"/>
      <x:c r="C584" s="31"/>
      <x:c r="D584" s="30" t="str">
        <x:v>Non vérifié</x:v>
      </x:c>
      <x:c r="E584" s="30" t="str"/>
      <x:c r="F584" s="30" t="str"/>
      <x:c r="G584" s="32" t="str"/>
      <x:c r="H584" s="33" t="str">
        <x:f>IF(I584&lt;&gt;"","Doublon possible","")</x:f>
      </x:c>
      <x:c r="I584" s="33" t="str">
        <x:f>IF(COUNTIFS($Y$9:$Y$678,Y584)&gt;1,"Nom + ville",IF(AND(Z584&lt;&gt;"",COUNTIFS($Z$9:$Z$678,Z584)&gt;1),"Téléphone",IF(AND(AA584&lt;&gt;"",COUNTIFS($AA$9:$AA$678,AA584)&gt;1),"Site web","")))</x:f>
      </x:c>
      <x:c r="J584" s="33" t="str">
        <x:v>RTG KOLOMA</x:v>
      </x:c>
      <x:c r="K584" s="33" t="str">
        <x:v>Services professionnels</x:v>
      </x:c>
      <x:c r="L584" s="33" t="str">
        <x:v>Consultants</x:v>
      </x:c>
      <x:c r="M584" s="33" t="str">
        <x:v>Conakry (à vérifier)</x:v>
      </x:c>
      <x:c r="N584" s="33" t="str"/>
      <x:c r="O584" s="33" t="str"/>
      <x:c r="P584" s="33" t="str"/>
      <x:c r="Q584" s="33" t="str"/>
      <x:c r="R584" s="33" t="str">
        <x:v>https://www.rtgkoloma.info/</x:v>
      </x:c>
      <x:c r="S584" s="33" t="str"/>
      <x:c r="T584" s="35" t="n">
        <x:v>9.5964026</x:v>
      </x:c>
      <x:c r="U584" s="35" t="n">
        <x:v>-13.6346476</x:v>
      </x:c>
      <x:c r="V584" s="33" t="str">
        <x:v>https://www.openstreetmap.org/way/94837235</x:v>
      </x:c>
      <x:c r="W584" s="33" t="str">
        <x:v>way/94837235</x:v>
      </x:c>
      <x:c r="X584" s="33" t="str">
        <x:v>review_required</x:v>
      </x:c>
      <x:c r="Y584" s="33" t="str">
        <x:v>rtg koloma|conakry a verifier</x:v>
      </x:c>
      <x:c r="Z584" s="33" t="str"/>
      <x:c r="AA584" s="33" t="str">
        <x:v>rtgkoloma.info</x:v>
      </x:c>
    </x:row>
    <x:row r="585">
      <x:c r="A585" s="30" t="str">
        <x:v>À vérifier</x:v>
      </x:c>
      <x:c r="B585" s="30" t="str"/>
      <x:c r="C585" s="31"/>
      <x:c r="D585" s="30" t="str">
        <x:v>Non vérifié</x:v>
      </x:c>
      <x:c r="E585" s="30" t="str"/>
      <x:c r="F585" s="30" t="str"/>
      <x:c r="G585" s="32" t="str"/>
      <x:c r="H585" s="33" t="str">
        <x:f>IF(I585&lt;&gt;"","Doublon possible","")</x:f>
      </x:c>
      <x:c r="I585" s="33" t="str">
        <x:f>IF(COUNTIFS($Y$9:$Y$678,Y585)&gt;1,"Nom + ville",IF(AND(Z585&lt;&gt;"",COUNTIFS($Z$9:$Z$678,Z585)&gt;1),"Téléphone",IF(AND(AA585&lt;&gt;"",COUNTIFS($AA$9:$AA$678,AA585)&gt;1),"Site web","")))</x:f>
      </x:c>
      <x:c r="J585" s="33" t="str">
        <x:v>Saar Assurance</x:v>
      </x:c>
      <x:c r="K585" s="33" t="str">
        <x:v>Services professionnels</x:v>
      </x:c>
      <x:c r="L585" s="33" t="str">
        <x:v>Consultants</x:v>
      </x:c>
      <x:c r="M585" s="33" t="str">
        <x:v>Conakry (à vérifier)</x:v>
      </x:c>
      <x:c r="N585" s="33" t="str"/>
      <x:c r="O585" s="33" t="str"/>
      <x:c r="P585" s="33" t="str">
        <x:v>+224623295594</x:v>
      </x:c>
      <x:c r="Q585" s="33" t="str"/>
      <x:c r="R585" s="33" t="str">
        <x:v>https://www.saargroup.com/</x:v>
      </x:c>
      <x:c r="S585" s="33" t="str"/>
      <x:c r="T585" s="35" t="n">
        <x:v>9.5298626</x:v>
      </x:c>
      <x:c r="U585" s="35" t="n">
        <x:v>-13.6824015</x:v>
      </x:c>
      <x:c r="V585" s="33" t="str">
        <x:v>https://www.openstreetmap.org/node/5801150237</x:v>
      </x:c>
      <x:c r="W585" s="33" t="str">
        <x:v>node/5801150237</x:v>
      </x:c>
      <x:c r="X585" s="33" t="str">
        <x:v>review_required</x:v>
      </x:c>
      <x:c r="Y585" s="33" t="str">
        <x:v>saar assurance|conakry a verifier</x:v>
      </x:c>
      <x:c r="Z585" s="33" t="str">
        <x:v>224623295594</x:v>
      </x:c>
      <x:c r="AA585" s="33" t="str">
        <x:v>saargroup.com</x:v>
      </x:c>
    </x:row>
    <x:row r="586">
      <x:c r="A586" s="30" t="str">
        <x:v>À vérifier</x:v>
      </x:c>
      <x:c r="B586" s="30" t="str"/>
      <x:c r="C586" s="31"/>
      <x:c r="D586" s="30" t="str">
        <x:v>Non vérifié</x:v>
      </x:c>
      <x:c r="E586" s="30" t="str"/>
      <x:c r="F586" s="30" t="str"/>
      <x:c r="G586" s="32" t="str"/>
      <x:c r="H586" s="33" t="str">
        <x:f>IF(I586&lt;&gt;"","Doublon possible","")</x:f>
      </x:c>
      <x:c r="I586" s="33" t="str">
        <x:f>IF(COUNTIFS($Y$9:$Y$678,Y586)&gt;1,"Nom + ville",IF(AND(Z586&lt;&gt;"",COUNTIFS($Z$9:$Z$678,Z586)&gt;1),"Téléphone",IF(AND(AA586&lt;&gt;"",COUNTIFS($AA$9:$AA$678,AA586)&gt;1),"Site web","")))</x:f>
      </x:c>
      <x:c r="J586" s="33" t="str">
        <x:v>Saboutech</x:v>
      </x:c>
      <x:c r="K586" s="33" t="str">
        <x:v>Services professionnels</x:v>
      </x:c>
      <x:c r="L586" s="33" t="str">
        <x:v>Consultants</x:v>
      </x:c>
      <x:c r="M586" s="33" t="str">
        <x:v>Conakry (à vérifier)</x:v>
      </x:c>
      <x:c r="N586" s="33" t="str"/>
      <x:c r="O586" s="33" t="str">
        <x:v>Bluezone de Dixinn, Conakry, Guinée</x:v>
      </x:c>
      <x:c r="P586" s="33" t="str">
        <x:v>+224 623474311</x:v>
      </x:c>
      <x:c r="Q586" s="33" t="str">
        <x:v>incubateursaboutech@gmail.com</x:v>
      </x:c>
      <x:c r="R586" s="33" t="str"/>
      <x:c r="S586" s="33" t="str"/>
      <x:c r="T586" s="35" t="n">
        <x:v>9.5526457</x:v>
      </x:c>
      <x:c r="U586" s="35" t="n">
        <x:v>-13.6581838</x:v>
      </x:c>
      <x:c r="V586" s="33" t="str">
        <x:v>https://www.openstreetmap.org/node/5223075726</x:v>
      </x:c>
      <x:c r="W586" s="33" t="str">
        <x:v>node/5223075726</x:v>
      </x:c>
      <x:c r="X586" s="33" t="str">
        <x:v>review_required</x:v>
      </x:c>
      <x:c r="Y586" s="33" t="str">
        <x:v>saboutech|conakry a verifier</x:v>
      </x:c>
      <x:c r="Z586" s="33" t="str">
        <x:v>224623474311</x:v>
      </x:c>
      <x:c r="AA586" s="33" t="str"/>
    </x:row>
    <x:row r="587">
      <x:c r="A587" s="30" t="str">
        <x:v>À vérifier</x:v>
      </x:c>
      <x:c r="B587" s="30" t="str"/>
      <x:c r="C587" s="31"/>
      <x:c r="D587" s="30" t="str">
        <x:v>Non vérifié</x:v>
      </x:c>
      <x:c r="E587" s="30" t="str"/>
      <x:c r="F587" s="30" t="str"/>
      <x:c r="G587" s="32" t="str"/>
      <x:c r="H587" s="33" t="str">
        <x:f>IF(I587&lt;&gt;"","Doublon possible","")</x:f>
      </x:c>
      <x:c r="I587" s="33" t="str">
        <x:f>IF(COUNTIFS($Y$9:$Y$678,Y587)&gt;1,"Nom + ville",IF(AND(Z587&lt;&gt;"",COUNTIFS($Z$9:$Z$678,Z587)&gt;1),"Téléphone",IF(AND(AA587&lt;&gt;"",COUNTIFS($AA$9:$AA$678,AA587)&gt;1),"Site web","")))</x:f>
      </x:c>
      <x:c r="J587" s="33" t="str">
        <x:v>Satina Technologie</x:v>
      </x:c>
      <x:c r="K587" s="33" t="str">
        <x:v>Services professionnels</x:v>
      </x:c>
      <x:c r="L587" s="33" t="str">
        <x:v>Consultants</x:v>
      </x:c>
      <x:c r="M587" s="33" t="str">
        <x:v>Conakry (à vérifier)</x:v>
      </x:c>
      <x:c r="N587" s="33" t="str"/>
      <x:c r="O587" s="33" t="str"/>
      <x:c r="P587" s="33" t="str">
        <x:v>+224624110384</x:v>
      </x:c>
      <x:c r="Q587" s="33" t="str"/>
      <x:c r="R587" s="33" t="str">
        <x:v>https://www.satinatech.com/</x:v>
      </x:c>
      <x:c r="S587" s="33" t="str"/>
      <x:c r="T587" s="35" t="n">
        <x:v>9.6637361</x:v>
      </x:c>
      <x:c r="U587" s="35" t="n">
        <x:v>-13.5631251</x:v>
      </x:c>
      <x:c r="V587" s="33" t="str">
        <x:v>https://www.openstreetmap.org/node/6991849970</x:v>
      </x:c>
      <x:c r="W587" s="33" t="str">
        <x:v>node/6991849970</x:v>
      </x:c>
      <x:c r="X587" s="33" t="str">
        <x:v>review_required</x:v>
      </x:c>
      <x:c r="Y587" s="33" t="str">
        <x:v>satina technologie|conakry a verifier</x:v>
      </x:c>
      <x:c r="Z587" s="33" t="str">
        <x:v>224624110384</x:v>
      </x:c>
      <x:c r="AA587" s="33" t="str">
        <x:v>satinatech.com</x:v>
      </x:c>
    </x:row>
    <x:row r="588">
      <x:c r="A588" s="30" t="str">
        <x:v>À vérifier</x:v>
      </x:c>
      <x:c r="B588" s="30" t="str"/>
      <x:c r="C588" s="31"/>
      <x:c r="D588" s="30" t="str">
        <x:v>Non vérifié</x:v>
      </x:c>
      <x:c r="E588" s="30" t="str"/>
      <x:c r="F588" s="30" t="str"/>
      <x:c r="G588" s="32" t="str"/>
      <x:c r="H588" s="33" t="str">
        <x:f>IF(I588&lt;&gt;"","Doublon possible","")</x:f>
        <x:v>Doublon possible</x:v>
      </x:c>
      <x:c r="I588" s="33" t="str">
        <x:f>IF(COUNTIFS($Y$9:$Y$678,Y588)&gt;1,"Nom + ville",IF(AND(Z588&lt;&gt;"",COUNTIFS($Z$9:$Z$678,Z588)&gt;1),"Téléphone",IF(AND(AA588&lt;&gt;"",COUNTIFS($AA$9:$AA$678,AA588)&gt;1),"Site web","")))</x:f>
        <x:v>Téléphone</x:v>
      </x:c>
      <x:c r="J588" s="33" t="str">
        <x:v>SkyVision</x:v>
      </x:c>
      <x:c r="K588" s="33" t="str">
        <x:v>Services professionnels</x:v>
      </x:c>
      <x:c r="L588" s="33" t="str">
        <x:v>Consultants</x:v>
      </x:c>
      <x:c r="M588" s="33" t="str">
        <x:v>Conakry (à vérifier)</x:v>
      </x:c>
      <x:c r="N588" s="33" t="str"/>
      <x:c r="O588" s="33" t="str"/>
      <x:c r="P588" s="33" t="str">
        <x:v>+224 628 34 00 60</x:v>
      </x:c>
      <x:c r="Q588" s="33" t="str"/>
      <x:c r="R588" s="33" t="str">
        <x:v>https://www.skyvision.net/</x:v>
      </x:c>
      <x:c r="S588" s="33" t="str"/>
      <x:c r="T588" s="35" t="n">
        <x:v>9.5130308</x:v>
      </x:c>
      <x:c r="U588" s="35" t="n">
        <x:v>-13.7159485</x:v>
      </x:c>
      <x:c r="V588" s="33" t="str">
        <x:v>https://www.openstreetmap.org/node/5739440973</x:v>
      </x:c>
      <x:c r="W588" s="33" t="str">
        <x:v>node/5739440973</x:v>
      </x:c>
      <x:c r="X588" s="33" t="str">
        <x:v>review_required</x:v>
      </x:c>
      <x:c r="Y588" s="33" t="str">
        <x:v>skyvision|conakry a verifier</x:v>
      </x:c>
      <x:c r="Z588" s="33" t="str">
        <x:v>224628340060</x:v>
      </x:c>
      <x:c r="AA588" s="33" t="str">
        <x:v>skyvision.net</x:v>
      </x:c>
    </x:row>
    <x:row r="589">
      <x:c r="A589" s="30" t="str">
        <x:v>À vérifier</x:v>
      </x:c>
      <x:c r="B589" s="30" t="str"/>
      <x:c r="C589" s="31"/>
      <x:c r="D589" s="30" t="str">
        <x:v>Non vérifié</x:v>
      </x:c>
      <x:c r="E589" s="30" t="str"/>
      <x:c r="F589" s="30" t="str"/>
      <x:c r="G589" s="32" t="str"/>
      <x:c r="H589" s="33" t="str">
        <x:f>IF(I589&lt;&gt;"","Doublon possible","")</x:f>
      </x:c>
      <x:c r="I589" s="33" t="str">
        <x:f>IF(COUNTIFS($Y$9:$Y$678,Y589)&gt;1,"Nom + ville",IF(AND(Z589&lt;&gt;"",COUNTIFS($Z$9:$Z$678,Z589)&gt;1),"Téléphone",IF(AND(AA589&lt;&gt;"",COUNTIFS($AA$9:$AA$678,AA589)&gt;1),"Site web","")))</x:f>
      </x:c>
      <x:c r="J589" s="33" t="str">
        <x:v>Socitech</x:v>
      </x:c>
      <x:c r="K589" s="33" t="str">
        <x:v>Services professionnels</x:v>
      </x:c>
      <x:c r="L589" s="33" t="str">
        <x:v>Consultants</x:v>
      </x:c>
      <x:c r="M589" s="33" t="str">
        <x:v>Conakry (à vérifier)</x:v>
      </x:c>
      <x:c r="N589" s="33" t="str"/>
      <x:c r="O589" s="33" t="str">
        <x:v>Kipé Centre émetteur, Face Ecobank, Diamond Plazza</x:v>
      </x:c>
      <x:c r="P589" s="33" t="str">
        <x:v>669 39 00 06/ 669 39 00 10</x:v>
      </x:c>
      <x:c r="Q589" s="33" t="str">
        <x:v>fanta.kante@socitech.com</x:v>
      </x:c>
      <x:c r="R589" s="33" t="str">
        <x:v>www.socitech.com</x:v>
      </x:c>
      <x:c r="S589" s="33" t="str"/>
      <x:c r="T589" s="35" t="n">
        <x:v>9.6066359</x:v>
      </x:c>
      <x:c r="U589" s="35" t="n">
        <x:v>-13.6492393</x:v>
      </x:c>
      <x:c r="V589" s="33" t="str">
        <x:v>https://www.openstreetmap.org/node/6985035174</x:v>
      </x:c>
      <x:c r="W589" s="33" t="str">
        <x:v>node/6985035174</x:v>
      </x:c>
      <x:c r="X589" s="33" t="str">
        <x:v>review_required</x:v>
      </x:c>
      <x:c r="Y589" s="33" t="str">
        <x:v>socitech|conakry a verifier</x:v>
      </x:c>
      <x:c r="Z589" s="33" t="str">
        <x:v>669390006669390010</x:v>
      </x:c>
      <x:c r="AA589" s="33" t="str">
        <x:v>socitech.com</x:v>
      </x:c>
    </x:row>
    <x:row r="590">
      <x:c r="A590" s="30" t="str">
        <x:v>À vérifier</x:v>
      </x:c>
      <x:c r="B590" s="30" t="str"/>
      <x:c r="C590" s="31"/>
      <x:c r="D590" s="30" t="str">
        <x:v>Non vérifié</x:v>
      </x:c>
      <x:c r="E590" s="30" t="str"/>
      <x:c r="F590" s="30" t="str"/>
      <x:c r="G590" s="32" t="str"/>
      <x:c r="H590" s="33" t="str">
        <x:f>IF(I590&lt;&gt;"","Doublon possible","")</x:f>
      </x:c>
      <x:c r="I590" s="33" t="str">
        <x:f>IF(COUNTIFS($Y$9:$Y$678,Y590)&gt;1,"Nom + ville",IF(AND(Z590&lt;&gt;"",COUNTIFS($Z$9:$Z$678,Z590)&gt;1),"Téléphone",IF(AND(AA590&lt;&gt;"",COUNTIFS($AA$9:$AA$678,AA590)&gt;1),"Site web","")))</x:f>
      </x:c>
      <x:c r="J590" s="33" t="str">
        <x:v>Société Guinéenne D’importation et Distribution des Produits Vétérinaires et Intrants d’Elévage</x:v>
      </x:c>
      <x:c r="K590" s="33" t="str">
        <x:v>Services professionnels</x:v>
      </x:c>
      <x:c r="L590" s="33" t="str">
        <x:v>Consultants</x:v>
      </x:c>
      <x:c r="M590" s="33" t="str">
        <x:v>Conakry (à vérifier)</x:v>
      </x:c>
      <x:c r="N590" s="33" t="str"/>
      <x:c r="O590" s="33" t="str"/>
      <x:c r="P590" s="33" t="str"/>
      <x:c r="Q590" s="33" t="str">
        <x:v>info@sogidpvie.com</x:v>
      </x:c>
      <x:c r="R590" s="33" t="str">
        <x:v>http://sogidpvie.com/</x:v>
      </x:c>
      <x:c r="S590" s="33" t="str"/>
      <x:c r="T590" s="35" t="n">
        <x:v>9.6138041</x:v>
      </x:c>
      <x:c r="U590" s="35" t="n">
        <x:v>-13.5900894</x:v>
      </x:c>
      <x:c r="V590" s="33" t="str">
        <x:v>https://www.openstreetmap.org/node/10207249561</x:v>
      </x:c>
      <x:c r="W590" s="33" t="str">
        <x:v>node/10207249561</x:v>
      </x:c>
      <x:c r="X590" s="33" t="str">
        <x:v>review_required</x:v>
      </x:c>
      <x:c r="Y590" s="33" t="str">
        <x:v>societe guineenne d importation et distribution des produits veterinaires et intrants d elevage|conakry a verifier</x:v>
      </x:c>
      <x:c r="Z590" s="33" t="str"/>
      <x:c r="AA590" s="33" t="str">
        <x:v>sogidpvie.com</x:v>
      </x:c>
    </x:row>
    <x:row r="591">
      <x:c r="A591" s="30" t="str">
        <x:v>À vérifier</x:v>
      </x:c>
      <x:c r="B591" s="30" t="str"/>
      <x:c r="C591" s="31"/>
      <x:c r="D591" s="30" t="str">
        <x:v>Non vérifié</x:v>
      </x:c>
      <x:c r="E591" s="30" t="str"/>
      <x:c r="F591" s="30" t="str"/>
      <x:c r="G591" s="32" t="str"/>
      <x:c r="H591" s="33" t="str">
        <x:f>IF(I591&lt;&gt;"","Doublon possible","")</x:f>
      </x:c>
      <x:c r="I591" s="33" t="str">
        <x:f>IF(COUNTIFS($Y$9:$Y$678,Y591)&gt;1,"Nom + ville",IF(AND(Z591&lt;&gt;"",COUNTIFS($Z$9:$Z$678,Z591)&gt;1),"Téléphone",IF(AND(AA591&lt;&gt;"",COUNTIFS($AA$9:$AA$678,AA591)&gt;1),"Site web","")))</x:f>
      </x:c>
      <x:c r="J591" s="33" t="str">
        <x:v>SOGEFEF</x:v>
      </x:c>
      <x:c r="K591" s="33" t="str">
        <x:v>Services professionnels</x:v>
      </x:c>
      <x:c r="L591" s="33" t="str">
        <x:v>Consultants</x:v>
      </x:c>
      <x:c r="M591" s="33" t="str">
        <x:v>Conakry (à vérifier)</x:v>
      </x:c>
      <x:c r="N591" s="33" t="str"/>
      <x:c r="O591" s="33" t="str"/>
      <x:c r="P591" s="33" t="str">
        <x:v>+224622350551</x:v>
      </x:c>
      <x:c r="Q591" s="33" t="str">
        <x:v>sogefelsarl@gmail.com</x:v>
      </x:c>
      <x:c r="R591" s="33" t="str"/>
      <x:c r="S591" s="33" t="str"/>
      <x:c r="T591" s="35" t="n">
        <x:v>9.5103432</x:v>
      </x:c>
      <x:c r="U591" s="35" t="n">
        <x:v>-13.7100155</x:v>
      </x:c>
      <x:c r="V591" s="33" t="str">
        <x:v>https://www.openstreetmap.org/node/5991403369</x:v>
      </x:c>
      <x:c r="W591" s="33" t="str">
        <x:v>node/5991403369</x:v>
      </x:c>
      <x:c r="X591" s="33" t="str">
        <x:v>review_required</x:v>
      </x:c>
      <x:c r="Y591" s="33" t="str">
        <x:v>sogefef|conakry a verifier</x:v>
      </x:c>
      <x:c r="Z591" s="33" t="str">
        <x:v>224622350551</x:v>
      </x:c>
      <x:c r="AA591" s="33" t="str"/>
    </x:row>
    <x:row r="592">
      <x:c r="A592" s="30" t="str">
        <x:v>À vérifier</x:v>
      </x:c>
      <x:c r="B592" s="30" t="str"/>
      <x:c r="C592" s="31"/>
      <x:c r="D592" s="30" t="str">
        <x:v>Non vérifié</x:v>
      </x:c>
      <x:c r="E592" s="30" t="str"/>
      <x:c r="F592" s="30" t="str"/>
      <x:c r="G592" s="32" t="str"/>
      <x:c r="H592" s="33" t="str">
        <x:f>IF(I592&lt;&gt;"","Doublon possible","")</x:f>
      </x:c>
      <x:c r="I592" s="33" t="str">
        <x:f>IF(COUNTIFS($Y$9:$Y$678,Y592)&gt;1,"Nom + ville",IF(AND(Z592&lt;&gt;"",COUNTIFS($Z$9:$Z$678,Z592)&gt;1),"Téléphone",IF(AND(AA592&lt;&gt;"",COUNTIFS($AA$9:$AA$678,AA592)&gt;1),"Site web","")))</x:f>
      </x:c>
      <x:c r="J592" s="33" t="str">
        <x:v>SP Travels et tourism</x:v>
      </x:c>
      <x:c r="K592" s="33" t="str">
        <x:v>Services professionnels</x:v>
      </x:c>
      <x:c r="L592" s="33" t="str">
        <x:v>Consultants</x:v>
      </x:c>
      <x:c r="M592" s="33" t="str">
        <x:v>Conakry (à vérifier)</x:v>
      </x:c>
      <x:c r="N592" s="33" t="str"/>
      <x:c r="O592" s="33" t="str"/>
      <x:c r="P592" s="33" t="str">
        <x:v>+224661259393</x:v>
      </x:c>
      <x:c r="Q592" s="33" t="str"/>
      <x:c r="R592" s="33" t="str"/>
      <x:c r="S592" s="33" t="str"/>
      <x:c r="T592" s="35" t="n">
        <x:v>9.6036296</x:v>
      </x:c>
      <x:c r="U592" s="35" t="n">
        <x:v>-13.6417357</x:v>
      </x:c>
      <x:c r="V592" s="33" t="str">
        <x:v>https://www.openstreetmap.org/node/6451798007</x:v>
      </x:c>
      <x:c r="W592" s="33" t="str">
        <x:v>node/6451798007</x:v>
      </x:c>
      <x:c r="X592" s="33" t="str">
        <x:v>review_required</x:v>
      </x:c>
      <x:c r="Y592" s="33" t="str">
        <x:v>sp travels et tourism|conakry a verifier</x:v>
      </x:c>
      <x:c r="Z592" s="33" t="str">
        <x:v>224661259393</x:v>
      </x:c>
      <x:c r="AA592" s="33" t="str"/>
    </x:row>
    <x:row r="593">
      <x:c r="A593" s="30" t="str">
        <x:v>À vérifier</x:v>
      </x:c>
      <x:c r="B593" s="30" t="str"/>
      <x:c r="C593" s="31"/>
      <x:c r="D593" s="30" t="str">
        <x:v>Non vérifié</x:v>
      </x:c>
      <x:c r="E593" s="30" t="str"/>
      <x:c r="F593" s="30" t="str"/>
      <x:c r="G593" s="32" t="str"/>
      <x:c r="H593" s="33" t="str">
        <x:f>IF(I593&lt;&gt;"","Doublon possible","")</x:f>
      </x:c>
      <x:c r="I593" s="33" t="str">
        <x:f>IF(COUNTIFS($Y$9:$Y$678,Y593)&gt;1,"Nom + ville",IF(AND(Z593&lt;&gt;"",COUNTIFS($Z$9:$Z$678,Z593)&gt;1),"Téléphone",IF(AND(AA593&lt;&gt;"",COUNTIFS($AA$9:$AA$678,AA593)&gt;1),"Site web","")))</x:f>
      </x:c>
      <x:c r="J593" s="33" t="str">
        <x:v>Stone Design</x:v>
      </x:c>
      <x:c r="K593" s="33" t="str">
        <x:v>Services professionnels</x:v>
      </x:c>
      <x:c r="L593" s="33" t="str">
        <x:v>Consultants</x:v>
      </x:c>
      <x:c r="M593" s="33" t="str">
        <x:v>Conakry (à vérifier)</x:v>
      </x:c>
      <x:c r="N593" s="33" t="str"/>
      <x:c r="O593" s="33" t="str"/>
      <x:c r="P593" s="33" t="str">
        <x:v>+224666927167</x:v>
      </x:c>
      <x:c r="Q593" s="33" t="str"/>
      <x:c r="R593" s="33" t="str"/>
      <x:c r="S593" s="33" t="str"/>
      <x:c r="T593" s="35" t="n">
        <x:v>9.5066674</x:v>
      </x:c>
      <x:c r="U593" s="35" t="n">
        <x:v>-13.7141799</x:v>
      </x:c>
      <x:c r="V593" s="33" t="str">
        <x:v>https://www.openstreetmap.org/node/6432817085</x:v>
      </x:c>
      <x:c r="W593" s="33" t="str">
        <x:v>node/6432817085</x:v>
      </x:c>
      <x:c r="X593" s="33" t="str">
        <x:v>review_required</x:v>
      </x:c>
      <x:c r="Y593" s="33" t="str">
        <x:v>stone design|conakry a verifier</x:v>
      </x:c>
      <x:c r="Z593" s="33" t="str">
        <x:v>224666927167</x:v>
      </x:c>
      <x:c r="AA593" s="33" t="str"/>
    </x:row>
    <x:row r="594">
      <x:c r="A594" s="30" t="str">
        <x:v>À vérifier</x:v>
      </x:c>
      <x:c r="B594" s="30" t="str"/>
      <x:c r="C594" s="31"/>
      <x:c r="D594" s="30" t="str">
        <x:v>Non vérifié</x:v>
      </x:c>
      <x:c r="E594" s="30" t="str"/>
      <x:c r="F594" s="30" t="str"/>
      <x:c r="G594" s="32" t="str"/>
      <x:c r="H594" s="33" t="str">
        <x:f>IF(I594&lt;&gt;"","Doublon possible","")</x:f>
      </x:c>
      <x:c r="I594" s="33" t="str">
        <x:f>IF(COUNTIFS($Y$9:$Y$678,Y594)&gt;1,"Nom + ville",IF(AND(Z594&lt;&gt;"",COUNTIFS($Z$9:$Z$678,Z594)&gt;1),"Téléphone",IF(AND(AA594&lt;&gt;"",COUNTIFS($AA$9:$AA$678,AA594)&gt;1),"Site web","")))</x:f>
      </x:c>
      <x:c r="J594" s="33" t="str">
        <x:v>VDC Telecom</x:v>
      </x:c>
      <x:c r="K594" s="33" t="str">
        <x:v>Services professionnels</x:v>
      </x:c>
      <x:c r="L594" s="33" t="str">
        <x:v>Consultants</x:v>
      </x:c>
      <x:c r="M594" s="33" t="str">
        <x:v>Conakry</x:v>
      </x:c>
      <x:c r="N594" s="33" t="str">
        <x:v>Kaloum</x:v>
      </x:c>
      <x:c r="O594" s="33" t="str">
        <x:v>11e Avenue</x:v>
      </x:c>
      <x:c r="P594" s="33" t="str">
        <x:v>+224 664 77 41 70</x:v>
      </x:c>
      <x:c r="Q594" s="33" t="str"/>
      <x:c r="R594" s="33" t="str">
        <x:v>https://www.vdctelecom.com/</x:v>
      </x:c>
      <x:c r="S594" s="33" t="str"/>
      <x:c r="T594" s="35" t="n">
        <x:v>9.5148973</x:v>
      </x:c>
      <x:c r="U594" s="35" t="n">
        <x:v>-13.7104321</x:v>
      </x:c>
      <x:c r="V594" s="33" t="str">
        <x:v>https://www.openstreetmap.org/node/5718885036</x:v>
      </x:c>
      <x:c r="W594" s="33" t="str">
        <x:v>node/5718885036</x:v>
      </x:c>
      <x:c r="X594" s="33" t="str">
        <x:v>review_required</x:v>
      </x:c>
      <x:c r="Y594" s="33" t="str">
        <x:v>vdc telecom|conakry</x:v>
      </x:c>
      <x:c r="Z594" s="33" t="str">
        <x:v>224664774170</x:v>
      </x:c>
      <x:c r="AA594" s="33" t="str">
        <x:v>vdctelecom.com</x:v>
      </x:c>
    </x:row>
    <x:row r="595">
      <x:c r="A595" s="30" t="str">
        <x:v>À vérifier</x:v>
      </x:c>
      <x:c r="B595" s="30" t="str"/>
      <x:c r="C595" s="31"/>
      <x:c r="D595" s="30" t="str">
        <x:v>Non vérifié</x:v>
      </x:c>
      <x:c r="E595" s="30" t="str"/>
      <x:c r="F595" s="30" t="str"/>
      <x:c r="G595" s="32" t="str"/>
      <x:c r="H595" s="33" t="str">
        <x:f>IF(I595&lt;&gt;"","Doublon possible","")</x:f>
        <x:v>Doublon possible</x:v>
      </x:c>
      <x:c r="I595" s="33" t="str">
        <x:f>IF(COUNTIFS($Y$9:$Y$678,Y595)&gt;1,"Nom + ville",IF(AND(Z595&lt;&gt;"",COUNTIFS($Z$9:$Z$678,Z595)&gt;1),"Téléphone",IF(AND(AA595&lt;&gt;"",COUNTIFS($AA$9:$AA$678,AA595)&gt;1),"Site web","")))</x:f>
        <x:v>Nom + ville</x:v>
      </x:c>
      <x:c r="J595" s="33" t="str">
        <x:v>Vigilor Sécurité SARLU</x:v>
      </x:c>
      <x:c r="K595" s="33" t="str">
        <x:v>Services professionnels</x:v>
      </x:c>
      <x:c r="L595" s="33" t="str">
        <x:v>Consultants</x:v>
      </x:c>
      <x:c r="M595" s="33" t="str">
        <x:v>Conakry (à vérifier)</x:v>
      </x:c>
      <x:c r="N595" s="33" t="str"/>
      <x:c r="O595" s="33" t="str"/>
      <x:c r="P595" s="33" t="str">
        <x:v>623790764</x:v>
      </x:c>
      <x:c r="Q595" s="33" t="str"/>
      <x:c r="R595" s="33" t="str">
        <x:v>vigilorsecurite@gmail.com</x:v>
      </x:c>
      <x:c r="S595" s="33" t="str"/>
      <x:c r="T595" s="35" t="n">
        <x:v>9.6328747</x:v>
      </x:c>
      <x:c r="U595" s="35" t="n">
        <x:v>-13.5914556</x:v>
      </x:c>
      <x:c r="V595" s="33" t="str">
        <x:v>https://www.openstreetmap.org/node/9314765160</x:v>
      </x:c>
      <x:c r="W595" s="33" t="str">
        <x:v>node/9314765160</x:v>
      </x:c>
      <x:c r="X595" s="33" t="str">
        <x:v>review_required</x:v>
      </x:c>
      <x:c r="Y595" s="33" t="str">
        <x:v>vigilor securite sarlu|conakry a verifier</x:v>
      </x:c>
      <x:c r="Z595" s="33" t="str">
        <x:v>224623790764</x:v>
      </x:c>
      <x:c r="AA595" s="33" t="str">
        <x:v>gmail.com</x:v>
      </x:c>
    </x:row>
    <x:row r="596">
      <x:c r="A596" s="30" t="str">
        <x:v>À vérifier</x:v>
      </x:c>
      <x:c r="B596" s="30" t="str"/>
      <x:c r="C596" s="31"/>
      <x:c r="D596" s="30" t="str">
        <x:v>Non vérifié</x:v>
      </x:c>
      <x:c r="E596" s="30" t="str"/>
      <x:c r="F596" s="30" t="str"/>
      <x:c r="G596" s="32" t="str"/>
      <x:c r="H596" s="33" t="str">
        <x:f>IF(I596&lt;&gt;"","Doublon possible","")</x:f>
        <x:v>Doublon possible</x:v>
      </x:c>
      <x:c r="I596" s="33" t="str">
        <x:f>IF(COUNTIFS($Y$9:$Y$678,Y596)&gt;1,"Nom + ville",IF(AND(Z596&lt;&gt;"",COUNTIFS($Z$9:$Z$678,Z596)&gt;1),"Téléphone",IF(AND(AA596&lt;&gt;"",COUNTIFS($AA$9:$AA$678,AA596)&gt;1),"Site web","")))</x:f>
        <x:v>Nom + ville</x:v>
      </x:c>
      <x:c r="J596" s="33" t="str">
        <x:v>Vigilor Sécurité SARLU</x:v>
      </x:c>
      <x:c r="K596" s="33" t="str">
        <x:v>Services professionnels</x:v>
      </x:c>
      <x:c r="L596" s="33" t="str">
        <x:v>Consultants</x:v>
      </x:c>
      <x:c r="M596" s="33" t="str">
        <x:v>Conakry (à vérifier)</x:v>
      </x:c>
      <x:c r="N596" s="33" t="str"/>
      <x:c r="O596" s="33" t="str"/>
      <x:c r="P596" s="33" t="str">
        <x:v>623790764</x:v>
      </x:c>
      <x:c r="Q596" s="33" t="str"/>
      <x:c r="R596" s="33" t="str">
        <x:v>vigilorsecurite@gmail.com</x:v>
      </x:c>
      <x:c r="S596" s="33" t="str"/>
      <x:c r="T596" s="35" t="n">
        <x:v>9.6328818</x:v>
      </x:c>
      <x:c r="U596" s="35" t="n">
        <x:v>-13.5914551</x:v>
      </x:c>
      <x:c r="V596" s="33" t="str">
        <x:v>https://www.openstreetmap.org/node/9314787380</x:v>
      </x:c>
      <x:c r="W596" s="33" t="str">
        <x:v>node/9314787380</x:v>
      </x:c>
      <x:c r="X596" s="33" t="str">
        <x:v>review_required</x:v>
      </x:c>
      <x:c r="Y596" s="33" t="str">
        <x:v>vigilor securite sarlu|conakry a verifier</x:v>
      </x:c>
      <x:c r="Z596" s="33" t="str">
        <x:v>224623790764</x:v>
      </x:c>
      <x:c r="AA596" s="33" t="str">
        <x:v>gmail.com</x:v>
      </x:c>
    </x:row>
    <x:row r="597">
      <x:c r="A597" s="30" t="str">
        <x:v>À vérifier</x:v>
      </x:c>
      <x:c r="B597" s="30" t="str"/>
      <x:c r="C597" s="31"/>
      <x:c r="D597" s="30" t="str">
        <x:v>Non vérifié</x:v>
      </x:c>
      <x:c r="E597" s="30" t="str"/>
      <x:c r="F597" s="30" t="str"/>
      <x:c r="G597" s="32" t="str"/>
      <x:c r="H597" s="33" t="str">
        <x:f>IF(I597&lt;&gt;"","Doublon possible","")</x:f>
      </x:c>
      <x:c r="I597" s="33" t="str">
        <x:f>IF(COUNTIFS($Y$9:$Y$678,Y597)&gt;1,"Nom + ville",IF(AND(Z597&lt;&gt;"",COUNTIFS($Z$9:$Z$678,Z597)&gt;1),"Téléphone",IF(AND(AA597&lt;&gt;"",COUNTIFS($AA$9:$AA$678,AA597)&gt;1),"Site web","")))</x:f>
      </x:c>
      <x:c r="J597" s="33" t="str">
        <x:v>Visazero</x:v>
      </x:c>
      <x:c r="K597" s="33" t="str">
        <x:v>Services professionnels</x:v>
      </x:c>
      <x:c r="L597" s="33" t="str">
        <x:v>Consultants</x:v>
      </x:c>
      <x:c r="M597" s="33" t="str">
        <x:v>Conakry (à vérifier)</x:v>
      </x:c>
      <x:c r="N597" s="33" t="str"/>
      <x:c r="O597" s="33" t="str"/>
      <x:c r="P597" s="33" t="str"/>
      <x:c r="Q597" s="33" t="str"/>
      <x:c r="R597" s="33" t="str">
        <x:v>https://www.visazero.com/</x:v>
      </x:c>
      <x:c r="S597" s="33" t="str"/>
      <x:c r="T597" s="35" t="n">
        <x:v>9.5803471</x:v>
      </x:c>
      <x:c r="U597" s="35" t="n">
        <x:v>-13.6504238</x:v>
      </x:c>
      <x:c r="V597" s="33" t="str">
        <x:v>https://www.openstreetmap.org/node/6034755891</x:v>
      </x:c>
      <x:c r="W597" s="33" t="str">
        <x:v>node/6034755891</x:v>
      </x:c>
      <x:c r="X597" s="33" t="str">
        <x:v>review_required</x:v>
      </x:c>
      <x:c r="Y597" s="33" t="str">
        <x:v>visazero|conakry a verifier</x:v>
      </x:c>
      <x:c r="Z597" s="33" t="str"/>
      <x:c r="AA597" s="33" t="str">
        <x:v>visazero.com</x:v>
      </x:c>
    </x:row>
    <x:row r="598">
      <x:c r="A598" s="30" t="str">
        <x:v>À vérifier</x:v>
      </x:c>
      <x:c r="B598" s="30" t="str"/>
      <x:c r="C598" s="31"/>
      <x:c r="D598" s="30" t="str">
        <x:v>Non vérifié</x:v>
      </x:c>
      <x:c r="E598" s="30" t="str"/>
      <x:c r="F598" s="30" t="str"/>
      <x:c r="G598" s="32" t="str"/>
      <x:c r="H598" s="33" t="str">
        <x:f>IF(I598&lt;&gt;"","Doublon possible","")</x:f>
      </x:c>
      <x:c r="I598" s="33" t="str">
        <x:f>IF(COUNTIFS($Y$9:$Y$678,Y598)&gt;1,"Nom + ville",IF(AND(Z598&lt;&gt;"",COUNTIFS($Z$9:$Z$678,Z598)&gt;1),"Téléphone",IF(AND(AA598&lt;&gt;"",COUNTIFS($AA$9:$AA$678,AA598)&gt;1),"Site web","")))</x:f>
      </x:c>
      <x:c r="J598" s="33" t="str">
        <x:v>Vivo Energy Guinée</x:v>
      </x:c>
      <x:c r="K598" s="33" t="str">
        <x:v>Services professionnels</x:v>
      </x:c>
      <x:c r="L598" s="33" t="str">
        <x:v>Consultants</x:v>
      </x:c>
      <x:c r="M598" s="33" t="str">
        <x:v>Conakry</x:v>
      </x:c>
      <x:c r="N598" s="33" t="str"/>
      <x:c r="O598" s="33" t="str">
        <x:v>Autoroute Fidel Castro</x:v>
      </x:c>
      <x:c r="P598" s="33" t="str"/>
      <x:c r="Q598" s="33" t="str"/>
      <x:c r="R598" s="33" t="str">
        <x:v>https://www.vivoenergy.com/</x:v>
      </x:c>
      <x:c r="S598" s="33" t="str"/>
      <x:c r="T598" s="35" t="n">
        <x:v>9.5729358</x:v>
      </x:c>
      <x:c r="U598" s="35" t="n">
        <x:v>-13.6240646</x:v>
      </x:c>
      <x:c r="V598" s="33" t="str">
        <x:v>https://www.openstreetmap.org/node/4244429289</x:v>
      </x:c>
      <x:c r="W598" s="33" t="str">
        <x:v>node/4244429289</x:v>
      </x:c>
      <x:c r="X598" s="33" t="str">
        <x:v>review_required</x:v>
      </x:c>
      <x:c r="Y598" s="33" t="str">
        <x:v>vivo energy guinee|conakry</x:v>
      </x:c>
      <x:c r="Z598" s="33" t="str"/>
      <x:c r="AA598" s="33" t="str">
        <x:v>vivoenergy.com</x:v>
      </x:c>
    </x:row>
    <x:row r="599">
      <x:c r="A599" s="30" t="str">
        <x:v>À vérifier</x:v>
      </x:c>
      <x:c r="B599" s="30" t="str"/>
      <x:c r="C599" s="31"/>
      <x:c r="D599" s="30" t="str">
        <x:v>Non vérifié</x:v>
      </x:c>
      <x:c r="E599" s="30" t="str"/>
      <x:c r="F599" s="30" t="str"/>
      <x:c r="G599" s="32" t="str"/>
      <x:c r="H599" s="33" t="str">
        <x:f>IF(I599&lt;&gt;"","Doublon possible","")</x:f>
      </x:c>
      <x:c r="I599" s="33" t="str">
        <x:f>IF(COUNTIFS($Y$9:$Y$678,Y599)&gt;1,"Nom + ville",IF(AND(Z599&lt;&gt;"",COUNTIFS($Z$9:$Z$678,Z599)&gt;1),"Téléphone",IF(AND(AA599&lt;&gt;"",COUNTIFS($AA$9:$AA$678,AA599)&gt;1),"Site web","")))</x:f>
      </x:c>
      <x:c r="J599" s="33" t="str">
        <x:v>Wolikhai</x:v>
      </x:c>
      <x:c r="K599" s="33" t="str">
        <x:v>Services professionnels</x:v>
      </x:c>
      <x:c r="L599" s="33" t="str">
        <x:v>Consultants</x:v>
      </x:c>
      <x:c r="M599" s="33" t="str">
        <x:v>Conakry (à vérifier)</x:v>
      </x:c>
      <x:c r="N599" s="33" t="str"/>
      <x:c r="O599" s="33" t="str">
        <x:v>Kaporo Marché, Immeuble R +5, 2ème Etage Bureau 2B, Conakry, Guinée</x:v>
      </x:c>
      <x:c r="P599" s="33" t="str">
        <x:v>628 21 89 68 / 629 30 01 02</x:v>
      </x:c>
      <x:c r="Q599" s="33" t="str">
        <x:v>mohamed.sylla@wolikhai.com</x:v>
      </x:c>
      <x:c r="R599" s="33" t="str">
        <x:v>www.wolikhai.com</x:v>
      </x:c>
      <x:c r="S599" s="33" t="str"/>
      <x:c r="T599" s="35" t="n">
        <x:v>9.6108788</x:v>
      </x:c>
      <x:c r="U599" s="35" t="n">
        <x:v>-13.6456472</x:v>
      </x:c>
      <x:c r="V599" s="33" t="str">
        <x:v>https://www.openstreetmap.org/node/6985035172</x:v>
      </x:c>
      <x:c r="W599" s="33" t="str">
        <x:v>node/6985035172</x:v>
      </x:c>
      <x:c r="X599" s="33" t="str">
        <x:v>review_required</x:v>
      </x:c>
      <x:c r="Y599" s="33" t="str">
        <x:v>wolikhai|conakry a verifier</x:v>
      </x:c>
      <x:c r="Z599" s="33" t="str">
        <x:v>628218968629300102</x:v>
      </x:c>
      <x:c r="AA599" s="33" t="str">
        <x:v>wolikhai.com</x:v>
      </x:c>
    </x:row>
    <x:row r="600">
      <x:c r="A600" s="30" t="str">
        <x:v>À vérifier</x:v>
      </x:c>
      <x:c r="B600" s="30" t="str"/>
      <x:c r="C600" s="31"/>
      <x:c r="D600" s="30" t="str">
        <x:v>Non vérifié</x:v>
      </x:c>
      <x:c r="E600" s="30" t="str"/>
      <x:c r="F600" s="30" t="str"/>
      <x:c r="G600" s="32" t="str"/>
      <x:c r="H600" s="33" t="str">
        <x:f>IF(I600&lt;&gt;"","Doublon possible","")</x:f>
        <x:v>Doublon possible</x:v>
      </x:c>
      <x:c r="I600" s="33" t="str">
        <x:f>IF(COUNTIFS($Y$9:$Y$678,Y600)&gt;1,"Nom + ville",IF(AND(Z600&lt;&gt;"",COUNTIFS($Z$9:$Z$678,Z600)&gt;1),"Téléphone",IF(AND(AA600&lt;&gt;"",COUNTIFS($AA$9:$AA$678,AA600)&gt;1),"Site web","")))</x:f>
        <x:v>Téléphone</x:v>
      </x:c>
      <x:c r="J600" s="33" t="str">
        <x:v>École professionnelle</x:v>
      </x:c>
      <x:c r="K600" s="33" t="str">
        <x:v>Services professionnels</x:v>
      </x:c>
      <x:c r="L600" s="33" t="str">
        <x:v>Consultants</x:v>
      </x:c>
      <x:c r="M600" s="33" t="str">
        <x:v>Conakry (à vérifier)</x:v>
      </x:c>
      <x:c r="N600" s="33" t="str"/>
      <x:c r="O600" s="33" t="str"/>
      <x:c r="P600" s="33" t="str">
        <x:v>622265864</x:v>
      </x:c>
      <x:c r="Q600" s="33" t="str"/>
      <x:c r="R600" s="33" t="str"/>
      <x:c r="S600" s="33" t="str"/>
      <x:c r="T600" s="35" t="n">
        <x:v>9.6073507</x:v>
      </x:c>
      <x:c r="U600" s="35" t="n">
        <x:v>-13.6117699</x:v>
      </x:c>
      <x:c r="V600" s="33" t="str">
        <x:v>https://www.openstreetmap.org/node/9053792250</x:v>
      </x:c>
      <x:c r="W600" s="33" t="str">
        <x:v>node/9053792250</x:v>
      </x:c>
      <x:c r="X600" s="33" t="str">
        <x:v>review_required</x:v>
      </x:c>
      <x:c r="Y600" s="33" t="str">
        <x:v>ecole professionnelle|conakry a verifier</x:v>
      </x:c>
      <x:c r="Z600" s="33" t="str">
        <x:v>224622265864</x:v>
      </x:c>
      <x:c r="AA600" s="33" t="str"/>
    </x:row>
    <x:row r="601">
      <x:c r="A601" s="30" t="str">
        <x:v>À vérifier</x:v>
      </x:c>
      <x:c r="B601" s="30" t="str"/>
      <x:c r="C601" s="31"/>
      <x:c r="D601" s="30" t="str">
        <x:v>Non vérifié</x:v>
      </x:c>
      <x:c r="E601" s="30" t="str"/>
      <x:c r="F601" s="30" t="str"/>
      <x:c r="G601" s="32" t="str"/>
      <x:c r="H601" s="33" t="str">
        <x:f>IF(I601&lt;&gt;"","Doublon possible","")</x:f>
      </x:c>
      <x:c r="I601" s="33" t="str">
        <x:f>IF(COUNTIFS($Y$9:$Y$678,Y601)&gt;1,"Nom + ville",IF(AND(Z601&lt;&gt;"",COUNTIFS($Z$9:$Z$678,Z601)&gt;1),"Téléphone",IF(AND(AA601&lt;&gt;"",COUNTIFS($AA$9:$AA$678,AA601)&gt;1),"Site web","")))</x:f>
      </x:c>
      <x:c r="J601" s="33" t="str">
        <x:v>Équipements et Techniques Informatiques</x:v>
      </x:c>
      <x:c r="K601" s="33" t="str">
        <x:v>Services professionnels</x:v>
      </x:c>
      <x:c r="L601" s="33" t="str">
        <x:v>Consultants</x:v>
      </x:c>
      <x:c r="M601" s="33" t="str">
        <x:v>CONAKRY</x:v>
      </x:c>
      <x:c r="N601" s="33" t="str">
        <x:v>Kaloum</x:v>
      </x:c>
      <x:c r="O601" s="33" t="str">
        <x:v>Boulevard du Commerce</x:v>
      </x:c>
      <x:c r="P601" s="33" t="str">
        <x:v>+224 631333301</x:v>
      </x:c>
      <x:c r="Q601" s="33" t="str">
        <x:v>sclientele@eti.net.gn</x:v>
      </x:c>
      <x:c r="R601" s="33" t="str">
        <x:v>http://www.eti.net.gn</x:v>
      </x:c>
      <x:c r="S601" s="33" t="str"/>
      <x:c r="T601" s="35" t="n">
        <x:v>9.5118343</x:v>
      </x:c>
      <x:c r="U601" s="35" t="n">
        <x:v>-13.7143347</x:v>
      </x:c>
      <x:c r="V601" s="33" t="str">
        <x:v>https://www.openstreetmap.org/node/5721449982</x:v>
      </x:c>
      <x:c r="W601" s="33" t="str">
        <x:v>node/5721449982</x:v>
      </x:c>
      <x:c r="X601" s="33" t="str">
        <x:v>review_required</x:v>
      </x:c>
      <x:c r="Y601" s="33" t="str">
        <x:v>equipements et techniques informatiques|conakry</x:v>
      </x:c>
      <x:c r="Z601" s="33" t="str">
        <x:v>224631333301</x:v>
      </x:c>
      <x:c r="AA601" s="33" t="str">
        <x:v>eti.net.gn</x:v>
      </x:c>
    </x:row>
    <x:row r="602">
      <x:c r="A602" s="30" t="str">
        <x:v>À vérifier</x:v>
      </x:c>
      <x:c r="B602" s="30" t="str"/>
      <x:c r="C602" s="31"/>
      <x:c r="D602" s="30" t="str">
        <x:v>Non vérifié</x:v>
      </x:c>
      <x:c r="E602" s="30" t="str"/>
      <x:c r="F602" s="30" t="str"/>
      <x:c r="G602" s="32" t="str"/>
      <x:c r="H602" s="33" t="str">
        <x:f>IF(I602&lt;&gt;"","Doublon possible","")</x:f>
        <x:v>Doublon possible</x:v>
      </x:c>
      <x:c r="I602" s="33" t="str">
        <x:f>IF(COUNTIFS($Y$9:$Y$678,Y602)&gt;1,"Nom + ville",IF(AND(Z602&lt;&gt;"",COUNTIFS($Z$9:$Z$678,Z602)&gt;1),"Téléphone",IF(AND(AA602&lt;&gt;"",COUNTIFS($AA$9:$AA$678,AA602)&gt;1),"Site web","")))</x:f>
        <x:v>Site web</x:v>
      </x:c>
      <x:c r="J602" s="33" t="str">
        <x:v>Centre Informatique Professionnel BillGates</x:v>
      </x:c>
      <x:c r="K602" s="33" t="str">
        <x:v>Technologie</x:v>
      </x:c>
      <x:c r="L602" s="33" t="str">
        <x:v>Informatique</x:v>
      </x:c>
      <x:c r="M602" s="33" t="str">
        <x:v>Conakry (à vérifier)</x:v>
      </x:c>
      <x:c r="N602" s="33" t="str"/>
      <x:c r="O602" s="33" t="str"/>
      <x:c r="P602" s="33" t="str">
        <x:v>+224620568055 / +224660302520</x:v>
      </x:c>
      <x:c r="Q602" s="33" t="str"/>
      <x:c r="R602" s="33" t="str">
        <x:v>ciproguinee@gmail.com</x:v>
      </x:c>
      <x:c r="S602" s="33" t="str"/>
      <x:c r="T602" s="35" t="n">
        <x:v>9.6701245</x:v>
      </x:c>
      <x:c r="U602" s="35" t="n">
        <x:v>-13.5806113</x:v>
      </x:c>
      <x:c r="V602" s="33" t="str">
        <x:v>https://www.openstreetmap.org/node/6900019363</x:v>
      </x:c>
      <x:c r="W602" s="33" t="str">
        <x:v>node/6900019363</x:v>
      </x:c>
      <x:c r="X602" s="33" t="str">
        <x:v>review_required</x:v>
      </x:c>
      <x:c r="Y602" s="33" t="str">
        <x:v>centre informatique professionnel billgates|conakry a verifier</x:v>
      </x:c>
      <x:c r="Z602" s="33" t="str">
        <x:v>224620568055224660302520</x:v>
      </x:c>
      <x:c r="AA602" s="33" t="str">
        <x:v>gmail.com</x:v>
      </x:c>
    </x:row>
    <x:row r="603">
      <x:c r="A603" s="30" t="str">
        <x:v>À vérifier</x:v>
      </x:c>
      <x:c r="B603" s="30" t="str"/>
      <x:c r="C603" s="31"/>
      <x:c r="D603" s="30" t="str">
        <x:v>Non vérifié</x:v>
      </x:c>
      <x:c r="E603" s="30" t="str"/>
      <x:c r="F603" s="30" t="str"/>
      <x:c r="G603" s="32" t="str"/>
      <x:c r="H603" s="33" t="str">
        <x:f>IF(I603&lt;&gt;"","Doublon possible","")</x:f>
      </x:c>
      <x:c r="I603" s="33" t="str">
        <x:f>IF(COUNTIFS($Y$9:$Y$678,Y603)&gt;1,"Nom + ville",IF(AND(Z603&lt;&gt;"",COUNTIFS($Z$9:$Z$678,Z603)&gt;1),"Téléphone",IF(AND(AA603&lt;&gt;"",COUNTIFS($AA$9:$AA$678,AA603)&gt;1),"Site web","")))</x:f>
      </x:c>
      <x:c r="J603" s="33" t="str">
        <x:v>Computec</x:v>
      </x:c>
      <x:c r="K603" s="33" t="str">
        <x:v>Technologie</x:v>
      </x:c>
      <x:c r="L603" s="33" t="str">
        <x:v>Informatique</x:v>
      </x:c>
      <x:c r="M603" s="33" t="str">
        <x:v>Conakry (à vérifier)</x:v>
      </x:c>
      <x:c r="N603" s="33" t="str"/>
      <x:c r="O603" s="33" t="str"/>
      <x:c r="P603" s="33" t="str">
        <x:v>+224622323264</x:v>
      </x:c>
      <x:c r="Q603" s="33" t="str">
        <x:v>computecgn@yahoo.com</x:v>
      </x:c>
      <x:c r="R603" s="33" t="str"/>
      <x:c r="S603" s="33" t="str"/>
      <x:c r="T603" s="35" t="n">
        <x:v>9.5628192</x:v>
      </x:c>
      <x:c r="U603" s="35" t="n">
        <x:v>-13.6415566</x:v>
      </x:c>
      <x:c r="V603" s="33" t="str">
        <x:v>https://www.openstreetmap.org/node/6052835394</x:v>
      </x:c>
      <x:c r="W603" s="33" t="str">
        <x:v>node/6052835394</x:v>
      </x:c>
      <x:c r="X603" s="33" t="str">
        <x:v>review_required</x:v>
      </x:c>
      <x:c r="Y603" s="33" t="str">
        <x:v>computec|conakry a verifier</x:v>
      </x:c>
      <x:c r="Z603" s="33" t="str">
        <x:v>224622323264</x:v>
      </x:c>
      <x:c r="AA603" s="33" t="str"/>
    </x:row>
    <x:row r="604">
      <x:c r="A604" s="30" t="str">
        <x:v>À vérifier</x:v>
      </x:c>
      <x:c r="B604" s="30" t="str"/>
      <x:c r="C604" s="31"/>
      <x:c r="D604" s="30" t="str">
        <x:v>Non vérifié</x:v>
      </x:c>
      <x:c r="E604" s="30" t="str"/>
      <x:c r="F604" s="30" t="str"/>
      <x:c r="G604" s="32" t="str"/>
      <x:c r="H604" s="33" t="str">
        <x:f>IF(I604&lt;&gt;"","Doublon possible","")</x:f>
      </x:c>
      <x:c r="I604" s="33" t="str">
        <x:f>IF(COUNTIFS($Y$9:$Y$678,Y604)&gt;1,"Nom + ville",IF(AND(Z604&lt;&gt;"",COUNTIFS($Z$9:$Z$678,Z604)&gt;1),"Téléphone",IF(AND(AA604&lt;&gt;"",COUNTIFS($AA$9:$AA$678,AA604)&gt;1),"Site web","")))</x:f>
      </x:c>
      <x:c r="J604" s="33" t="str">
        <x:v>ETS. DIALI</x:v>
      </x:c>
      <x:c r="K604" s="33" t="str">
        <x:v>Technologie</x:v>
      </x:c>
      <x:c r="L604" s="33" t="str">
        <x:v>Informatique</x:v>
      </x:c>
      <x:c r="M604" s="33" t="str">
        <x:v>Conakry (à vérifier)</x:v>
      </x:c>
      <x:c r="N604" s="33" t="str"/>
      <x:c r="O604" s="33" t="str"/>
      <x:c r="P604" s="33" t="str">
        <x:v>+224664302010</x:v>
      </x:c>
      <x:c r="Q604" s="33" t="str"/>
      <x:c r="R604" s="33" t="str"/>
      <x:c r="S604" s="33" t="str"/>
      <x:c r="T604" s="35" t="n">
        <x:v>9.5304016</x:v>
      </x:c>
      <x:c r="U604" s="35" t="n">
        <x:v>-13.681899</x:v>
      </x:c>
      <x:c r="V604" s="33" t="str">
        <x:v>https://www.openstreetmap.org/node/6190030419</x:v>
      </x:c>
      <x:c r="W604" s="33" t="str">
        <x:v>node/6190030419</x:v>
      </x:c>
      <x:c r="X604" s="33" t="str">
        <x:v>review_required</x:v>
      </x:c>
      <x:c r="Y604" s="33" t="str">
        <x:v>ets diali|conakry a verifier</x:v>
      </x:c>
      <x:c r="Z604" s="33" t="str">
        <x:v>224664302010</x:v>
      </x:c>
      <x:c r="AA604" s="33" t="str"/>
    </x:row>
    <x:row r="605">
      <x:c r="A605" s="30" t="str">
        <x:v>À vérifier</x:v>
      </x:c>
      <x:c r="B605" s="30" t="str"/>
      <x:c r="C605" s="31"/>
      <x:c r="D605" s="30" t="str">
        <x:v>Non vérifié</x:v>
      </x:c>
      <x:c r="E605" s="30" t="str"/>
      <x:c r="F605" s="30" t="str"/>
      <x:c r="G605" s="32" t="str"/>
      <x:c r="H605" s="33" t="str">
        <x:f>IF(I605&lt;&gt;"","Doublon possible","")</x:f>
      </x:c>
      <x:c r="I605" s="33" t="str">
        <x:f>IF(COUNTIFS($Y$9:$Y$678,Y605)&gt;1,"Nom + ville",IF(AND(Z605&lt;&gt;"",COUNTIFS($Z$9:$Z$678,Z605)&gt;1),"Téléphone",IF(AND(AA605&lt;&gt;"",COUNTIFS($AA$9:$AA$678,AA605)&gt;1),"Site web","")))</x:f>
      </x:c>
      <x:c r="J605" s="33" t="str">
        <x:v>Kaalatec</x:v>
      </x:c>
      <x:c r="K605" s="33" t="str">
        <x:v>Technologie</x:v>
      </x:c>
      <x:c r="L605" s="33" t="str">
        <x:v>Informatique</x:v>
      </x:c>
      <x:c r="M605" s="33" t="str">
        <x:v>Conakry</x:v>
      </x:c>
      <x:c r="N605" s="33" t="str"/>
      <x:c r="O605" s="33" t="str">
        <x:v>A5</x:v>
      </x:c>
      <x:c r="P605" s="33" t="str">
        <x:v>+224628271119</x:v>
      </x:c>
      <x:c r="Q605" s="33" t="str">
        <x:v>Kaalatec@gmail.com</x:v>
      </x:c>
      <x:c r="R605" s="33" t="str"/>
      <x:c r="S605" s="33" t="str"/>
      <x:c r="T605" s="35" t="n">
        <x:v>9.5466732</x:v>
      </x:c>
      <x:c r="U605" s="35" t="n">
        <x:v>-13.6703556</x:v>
      </x:c>
      <x:c r="V605" s="33" t="str">
        <x:v>https://www.openstreetmap.org/node/5921619038</x:v>
      </x:c>
      <x:c r="W605" s="33" t="str">
        <x:v>node/5921619038</x:v>
      </x:c>
      <x:c r="X605" s="33" t="str">
        <x:v>review_required</x:v>
      </x:c>
      <x:c r="Y605" s="33" t="str">
        <x:v>kaalatec|conakry</x:v>
      </x:c>
      <x:c r="Z605" s="33" t="str">
        <x:v>224628271119</x:v>
      </x:c>
      <x:c r="AA605" s="33" t="str"/>
    </x:row>
    <x:row r="606">
      <x:c r="A606" s="30" t="str">
        <x:v>À vérifier</x:v>
      </x:c>
      <x:c r="B606" s="30" t="str"/>
      <x:c r="C606" s="31"/>
      <x:c r="D606" s="30" t="str">
        <x:v>Non vérifié</x:v>
      </x:c>
      <x:c r="E606" s="30" t="str"/>
      <x:c r="F606" s="30" t="str"/>
      <x:c r="G606" s="32" t="str"/>
      <x:c r="H606" s="33" t="str">
        <x:f>IF(I606&lt;&gt;"","Doublon possible","")</x:f>
      </x:c>
      <x:c r="I606" s="33" t="str">
        <x:f>IF(COUNTIFS($Y$9:$Y$678,Y606)&gt;1,"Nom + ville",IF(AND(Z606&lt;&gt;"",COUNTIFS($Z$9:$Z$678,Z606)&gt;1),"Téléphone",IF(AND(AA606&lt;&gt;"",COUNTIFS($AA$9:$AA$678,AA606)&gt;1),"Site web","")))</x:f>
      </x:c>
      <x:c r="J606" s="33" t="str">
        <x:v>Magasin de téléphonie mobile Huawei</x:v>
      </x:c>
      <x:c r="K606" s="33" t="str">
        <x:v>Technologie</x:v>
      </x:c>
      <x:c r="L606" s="33" t="str">
        <x:v>Téléphonie</x:v>
      </x:c>
      <x:c r="M606" s="33" t="str">
        <x:v>Conakry</x:v>
      </x:c>
      <x:c r="N606" s="33" t="str"/>
      <x:c r="O606" s="33" t="str">
        <x:v>卡鲁姆大楼 7e Avenue</x:v>
      </x:c>
      <x:c r="P606" s="33" t="str">
        <x:v>00224 622555654</x:v>
      </x:c>
      <x:c r="Q606" s="33" t="str"/>
      <x:c r="R606" s="33" t="str"/>
      <x:c r="S606" s="33" t="str"/>
      <x:c r="T606" s="35" t="n">
        <x:v>9.5094255</x:v>
      </x:c>
      <x:c r="U606" s="35" t="n">
        <x:v>-13.7128393</x:v>
      </x:c>
      <x:c r="V606" s="33" t="str">
        <x:v>https://www.openstreetmap.org/node/10964489767</x:v>
      </x:c>
      <x:c r="W606" s="33" t="str">
        <x:v>node/10964489767</x:v>
      </x:c>
      <x:c r="X606" s="33" t="str">
        <x:v>review_required</x:v>
      </x:c>
      <x:c r="Y606" s="33" t="str">
        <x:v>magasin de telephonie mobile huawei|conakry</x:v>
      </x:c>
      <x:c r="Z606" s="33" t="str">
        <x:v>224622555654</x:v>
      </x:c>
      <x:c r="AA606" s="33" t="str"/>
    </x:row>
    <x:row r="607">
      <x:c r="A607" s="30" t="str">
        <x:v>À vérifier</x:v>
      </x:c>
      <x:c r="B607" s="30" t="str"/>
      <x:c r="C607" s="31"/>
      <x:c r="D607" s="30" t="str">
        <x:v>Non vérifié</x:v>
      </x:c>
      <x:c r="E607" s="30" t="str"/>
      <x:c r="F607" s="30" t="str"/>
      <x:c r="G607" s="32" t="str"/>
      <x:c r="H607" s="33" t="str">
        <x:f>IF(I607&lt;&gt;"","Doublon possible","")</x:f>
      </x:c>
      <x:c r="I607" s="33" t="str">
        <x:f>IF(COUNTIFS($Y$9:$Y$678,Y607)&gt;1,"Nom + ville",IF(AND(Z607&lt;&gt;"",COUNTIFS($Z$9:$Z$678,Z607)&gt;1),"Téléphone",IF(AND(AA607&lt;&gt;"",COUNTIFS($AA$9:$AA$678,AA607)&gt;1),"Site web","")))</x:f>
      </x:c>
      <x:c r="J607" s="33" t="str">
        <x:v>Tecno</x:v>
      </x:c>
      <x:c r="K607" s="33" t="str">
        <x:v>Technologie</x:v>
      </x:c>
      <x:c r="L607" s="33" t="str">
        <x:v>Téléphonie</x:v>
      </x:c>
      <x:c r="M607" s="33" t="str">
        <x:v>Conakry (à vérifier)</x:v>
      </x:c>
      <x:c r="N607" s="33" t="str"/>
      <x:c r="O607" s="33" t="str"/>
      <x:c r="P607" s="33" t="str">
        <x:v>+224622333338</x:v>
      </x:c>
      <x:c r="Q607" s="33" t="str"/>
      <x:c r="R607" s="33" t="str"/>
      <x:c r="S607" s="33" t="str"/>
      <x:c r="T607" s="35" t="n">
        <x:v>9.5389183</x:v>
      </x:c>
      <x:c r="U607" s="35" t="n">
        <x:v>-13.6736347</x:v>
      </x:c>
      <x:c r="V607" s="33" t="str">
        <x:v>https://www.openstreetmap.org/node/5739446921</x:v>
      </x:c>
      <x:c r="W607" s="33" t="str">
        <x:v>node/5739446921</x:v>
      </x:c>
      <x:c r="X607" s="33" t="str">
        <x:v>review_required</x:v>
      </x:c>
      <x:c r="Y607" s="33" t="str">
        <x:v>tecno|conakry a verifier</x:v>
      </x:c>
      <x:c r="Z607" s="33" t="str">
        <x:v>224622333338</x:v>
      </x:c>
      <x:c r="AA607" s="33" t="str"/>
    </x:row>
    <x:row r="608">
      <x:c r="A608" s="30" t="str">
        <x:v>À vérifier</x:v>
      </x:c>
      <x:c r="B608" s="30" t="str"/>
      <x:c r="C608" s="31"/>
      <x:c r="D608" s="30" t="str">
        <x:v>Non vérifié</x:v>
      </x:c>
      <x:c r="E608" s="30" t="str"/>
      <x:c r="F608" s="30" t="str"/>
      <x:c r="G608" s="32" t="str"/>
      <x:c r="H608" s="33" t="str">
        <x:f>IF(I608&lt;&gt;"","Doublon possible","")</x:f>
      </x:c>
      <x:c r="I608" s="33" t="str">
        <x:f>IF(COUNTIFS($Y$9:$Y$678,Y608)&gt;1,"Nom + ville",IF(AND(Z608&lt;&gt;"",COUNTIFS($Z$9:$Z$678,Z608)&gt;1),"Téléphone",IF(AND(AA608&lt;&gt;"",COUNTIFS($AA$9:$AA$678,AA608)&gt;1),"Site web","")))</x:f>
      </x:c>
      <x:c r="J608" s="33" t="str">
        <x:v>Le matin Guinée</x:v>
      </x:c>
      <x:c r="K608" s="33" t="str">
        <x:v>Tourisme</x:v>
      </x:c>
      <x:c r="L608" s="33" t="str">
        <x:v>Sites touristiques</x:v>
      </x:c>
      <x:c r="M608" s="33" t="str">
        <x:v>Conakry (à vérifier)</x:v>
      </x:c>
      <x:c r="N608" s="33" t="str"/>
      <x:c r="O608" s="33" t="str"/>
      <x:c r="P608" s="33" t="str">
        <x:v>+224661182828</x:v>
      </x:c>
      <x:c r="Q608" s="33" t="str">
        <x:v>lematinguinee@gmail.com</x:v>
      </x:c>
      <x:c r="R608" s="33" t="str">
        <x:v>https://www.lematinguinee.com/</x:v>
      </x:c>
      <x:c r="S608" s="33" t="str"/>
      <x:c r="T608" s="35" t="n">
        <x:v>9.6076018</x:v>
      </x:c>
      <x:c r="U608" s="35" t="n">
        <x:v>-13.5987759</x:v>
      </x:c>
      <x:c r="V608" s="33" t="str">
        <x:v>https://www.openstreetmap.org/node/6005759326</x:v>
      </x:c>
      <x:c r="W608" s="33" t="str">
        <x:v>node/6005759326</x:v>
      </x:c>
      <x:c r="X608" s="33" t="str">
        <x:v>review_required</x:v>
      </x:c>
      <x:c r="Y608" s="33" t="str">
        <x:v>le matin guinee|conakry a verifier</x:v>
      </x:c>
      <x:c r="Z608" s="33" t="str">
        <x:v>224661182828</x:v>
      </x:c>
      <x:c r="AA608" s="33" t="str">
        <x:v>lematinguinee.com</x:v>
      </x:c>
    </x:row>
    <x:row r="609">
      <x:c r="A609" s="30" t="str">
        <x:v>À vérifier</x:v>
      </x:c>
      <x:c r="B609" s="30" t="str"/>
      <x:c r="C609" s="31"/>
      <x:c r="D609" s="30" t="str">
        <x:v>Non vérifié</x:v>
      </x:c>
      <x:c r="E609" s="30" t="str"/>
      <x:c r="F609" s="30" t="str"/>
      <x:c r="G609" s="32" t="str"/>
      <x:c r="H609" s="33" t="str">
        <x:f>IF(I609&lt;&gt;"","Doublon possible","")</x:f>
      </x:c>
      <x:c r="I609" s="33" t="str">
        <x:f>IF(COUNTIFS($Y$9:$Y$678,Y609)&gt;1,"Nom + ville",IF(AND(Z609&lt;&gt;"",COUNTIFS($Z$9:$Z$678,Z609)&gt;1),"Téléphone",IF(AND(AA609&lt;&gt;"",COUNTIFS($AA$9:$AA$678,AA609)&gt;1),"Site web","")))</x:f>
      </x:c>
      <x:c r="J609" s="33" t="str">
        <x:v>Auto Ecole de Guinée</x:v>
      </x:c>
      <x:c r="K609" s="33" t="str">
        <x:v>Éducation</x:v>
      </x:c>
      <x:c r="L609" s="33" t="str">
        <x:v>Auto-écoles</x:v>
      </x:c>
      <x:c r="M609" s="33" t="str">
        <x:v>Conakry (à vérifier)</x:v>
      </x:c>
      <x:c r="N609" s="33" t="str"/>
      <x:c r="O609" s="33" t="str"/>
      <x:c r="P609" s="33" t="str">
        <x:v>+224628951521</x:v>
      </x:c>
      <x:c r="Q609" s="33" t="str"/>
      <x:c r="R609" s="33" t="str"/>
      <x:c r="S609" s="33" t="str"/>
      <x:c r="T609" s="35" t="n">
        <x:v>9.6155397</x:v>
      </x:c>
      <x:c r="U609" s="35" t="n">
        <x:v>-13.587781</x:v>
      </x:c>
      <x:c r="V609" s="33" t="str">
        <x:v>https://www.openstreetmap.org/node/6060712336</x:v>
      </x:c>
      <x:c r="W609" s="33" t="str">
        <x:v>node/6060712336</x:v>
      </x:c>
      <x:c r="X609" s="33" t="str">
        <x:v>review_required</x:v>
      </x:c>
      <x:c r="Y609" s="33" t="str">
        <x:v>auto ecole de guinee|conakry a verifier</x:v>
      </x:c>
      <x:c r="Z609" s="33" t="str">
        <x:v>224628951521</x:v>
      </x:c>
      <x:c r="AA609" s="33" t="str"/>
    </x:row>
    <x:row r="610">
      <x:c r="A610" s="30" t="str">
        <x:v>À vérifier</x:v>
      </x:c>
      <x:c r="B610" s="30" t="str"/>
      <x:c r="C610" s="31"/>
      <x:c r="D610" s="30" t="str">
        <x:v>Non vérifié</x:v>
      </x:c>
      <x:c r="E610" s="30" t="str"/>
      <x:c r="F610" s="30" t="str"/>
      <x:c r="G610" s="32" t="str"/>
      <x:c r="H610" s="33" t="str">
        <x:f>IF(I610&lt;&gt;"","Doublon possible","")</x:f>
      </x:c>
      <x:c r="I610" s="33" t="str">
        <x:f>IF(COUNTIFS($Y$9:$Y$678,Y610)&gt;1,"Nom + ville",IF(AND(Z610&lt;&gt;"",COUNTIFS($Z$9:$Z$678,Z610)&gt;1),"Téléphone",IF(AND(AA610&lt;&gt;"",COUNTIFS($AA$9:$AA$678,AA610)&gt;1),"Site web","")))</x:f>
      </x:c>
      <x:c r="J610" s="33" t="str">
        <x:v>Badou école</x:v>
      </x:c>
      <x:c r="K610" s="33" t="str">
        <x:v>Éducation</x:v>
      </x:c>
      <x:c r="L610" s="33" t="str">
        <x:v>Écoles</x:v>
      </x:c>
      <x:c r="M610" s="33" t="str">
        <x:v>Conakry (à vérifier)</x:v>
      </x:c>
      <x:c r="N610" s="33" t="str"/>
      <x:c r="O610" s="33" t="str"/>
      <x:c r="P610" s="33" t="str">
        <x:v>+224628593411</x:v>
      </x:c>
      <x:c r="Q610" s="33" t="str"/>
      <x:c r="R610" s="33" t="str"/>
      <x:c r="S610" s="33" t="str"/>
      <x:c r="T610" s="35" t="n">
        <x:v>9.6280982</x:v>
      </x:c>
      <x:c r="U610" s="35" t="n">
        <x:v>-13.6190528</x:v>
      </x:c>
      <x:c r="V610" s="33" t="str">
        <x:v>https://www.openstreetmap.org/node/5796994876</x:v>
      </x:c>
      <x:c r="W610" s="33" t="str">
        <x:v>node/5796994876</x:v>
      </x:c>
      <x:c r="X610" s="33" t="str">
        <x:v>review_required</x:v>
      </x:c>
      <x:c r="Y610" s="33" t="str">
        <x:v>badou ecole|conakry a verifier</x:v>
      </x:c>
      <x:c r="Z610" s="33" t="str">
        <x:v>224628593411</x:v>
      </x:c>
      <x:c r="AA610" s="33" t="str"/>
    </x:row>
    <x:row r="611">
      <x:c r="A611" s="30" t="str">
        <x:v>À vérifier</x:v>
      </x:c>
      <x:c r="B611" s="30" t="str"/>
      <x:c r="C611" s="31"/>
      <x:c r="D611" s="30" t="str">
        <x:v>Non vérifié</x:v>
      </x:c>
      <x:c r="E611" s="30" t="str"/>
      <x:c r="F611" s="30" t="str"/>
      <x:c r="G611" s="32" t="str"/>
      <x:c r="H611" s="33" t="str">
        <x:f>IF(I611&lt;&gt;"","Doublon possible","")</x:f>
      </x:c>
      <x:c r="I611" s="33" t="str">
        <x:f>IF(COUNTIFS($Y$9:$Y$678,Y611)&gt;1,"Nom + ville",IF(AND(Z611&lt;&gt;"",COUNTIFS($Z$9:$Z$678,Z611)&gt;1),"Téléphone",IF(AND(AA611&lt;&gt;"",COUNTIFS($AA$9:$AA$678,AA611)&gt;1),"Site web","")))</x:f>
      </x:c>
      <x:c r="J611" s="33" t="str">
        <x:v>Complexe Scolaire &amp; Université Nelson Mandela</x:v>
      </x:c>
      <x:c r="K611" s="33" t="str">
        <x:v>Éducation</x:v>
      </x:c>
      <x:c r="L611" s="33" t="str">
        <x:v>Écoles</x:v>
      </x:c>
      <x:c r="M611" s="33" t="str">
        <x:v>Conakry (à vérifier)</x:v>
      </x:c>
      <x:c r="N611" s="33" t="str"/>
      <x:c r="O611" s="33" t="str"/>
      <x:c r="P611" s="33" t="str">
        <x:v>+224624398128 / 666002171</x:v>
      </x:c>
      <x:c r="Q611" s="33" t="str"/>
      <x:c r="R611" s="33" t="str"/>
      <x:c r="S611" s="33" t="str"/>
      <x:c r="T611" s="35" t="n">
        <x:v>9.6081439</x:v>
      </x:c>
      <x:c r="U611" s="35" t="n">
        <x:v>-13.5982971</x:v>
      </x:c>
      <x:c r="V611" s="33" t="str">
        <x:v>https://www.openstreetmap.org/node/5425641799</x:v>
      </x:c>
      <x:c r="W611" s="33" t="str">
        <x:v>node/5425641799</x:v>
      </x:c>
      <x:c r="X611" s="33" t="str">
        <x:v>review_required</x:v>
      </x:c>
      <x:c r="Y611" s="33" t="str">
        <x:v>complexe scolaire universite nelson mandela|conakry a verifier</x:v>
      </x:c>
      <x:c r="Z611" s="33" t="str">
        <x:v>224624398128666002171</x:v>
      </x:c>
      <x:c r="AA611" s="33" t="str"/>
    </x:row>
    <x:row r="612">
      <x:c r="A612" s="30" t="str">
        <x:v>À vérifier</x:v>
      </x:c>
      <x:c r="B612" s="30" t="str"/>
      <x:c r="C612" s="31"/>
      <x:c r="D612" s="30" t="str">
        <x:v>Non vérifié</x:v>
      </x:c>
      <x:c r="E612" s="30" t="str"/>
      <x:c r="F612" s="30" t="str"/>
      <x:c r="G612" s="32" t="str"/>
      <x:c r="H612" s="33" t="str">
        <x:f>IF(I612&lt;&gt;"","Doublon possible","")</x:f>
      </x:c>
      <x:c r="I612" s="33" t="str">
        <x:f>IF(COUNTIFS($Y$9:$Y$678,Y612)&gt;1,"Nom + ville",IF(AND(Z612&lt;&gt;"",COUNTIFS($Z$9:$Z$678,Z612)&gt;1),"Téléphone",IF(AND(AA612&lt;&gt;"",COUNTIFS($AA$9:$AA$678,AA612)&gt;1),"Site web","")))</x:f>
      </x:c>
      <x:c r="J612" s="33" t="str">
        <x:v>Complexe scolaire Cursus d'excellence</x:v>
      </x:c>
      <x:c r="K612" s="33" t="str">
        <x:v>Éducation</x:v>
      </x:c>
      <x:c r="L612" s="33" t="str">
        <x:v>Écoles</x:v>
      </x:c>
      <x:c r="M612" s="33" t="str">
        <x:v>Conakry (à vérifier)</x:v>
      </x:c>
      <x:c r="N612" s="33" t="str"/>
      <x:c r="O612" s="33" t="str"/>
      <x:c r="P612" s="33" t="str">
        <x:v>628519834/620468466</x:v>
      </x:c>
      <x:c r="Q612" s="33" t="str"/>
      <x:c r="R612" s="33" t="str"/>
      <x:c r="S612" s="33" t="str"/>
      <x:c r="T612" s="35" t="n">
        <x:v>9.6592708</x:v>
      </x:c>
      <x:c r="U612" s="35" t="n">
        <x:v>-13.5824848</x:v>
      </x:c>
      <x:c r="V612" s="33" t="str">
        <x:v>https://www.openstreetmap.org/node/8963076966</x:v>
      </x:c>
      <x:c r="W612" s="33" t="str">
        <x:v>node/8963076966</x:v>
      </x:c>
      <x:c r="X612" s="33" t="str">
        <x:v>review_required</x:v>
      </x:c>
      <x:c r="Y612" s="33" t="str">
        <x:v>complexe scolaire cursus d excellence|conakry a verifier</x:v>
      </x:c>
      <x:c r="Z612" s="33" t="str">
        <x:v>628519834620468466</x:v>
      </x:c>
      <x:c r="AA612" s="33" t="str"/>
    </x:row>
    <x:row r="613">
      <x:c r="A613" s="30" t="str">
        <x:v>À vérifier</x:v>
      </x:c>
      <x:c r="B613" s="30" t="str"/>
      <x:c r="C613" s="31"/>
      <x:c r="D613" s="30" t="str">
        <x:v>Non vérifié</x:v>
      </x:c>
      <x:c r="E613" s="30" t="str"/>
      <x:c r="F613" s="30" t="str"/>
      <x:c r="G613" s="32" t="str"/>
      <x:c r="H613" s="33" t="str">
        <x:f>IF(I613&lt;&gt;"","Doublon possible","")</x:f>
      </x:c>
      <x:c r="I613" s="33" t="str">
        <x:f>IF(COUNTIFS($Y$9:$Y$678,Y613)&gt;1,"Nom + ville",IF(AND(Z613&lt;&gt;"",COUNTIFS($Z$9:$Z$678,Z613)&gt;1),"Téléphone",IF(AND(AA613&lt;&gt;"",COUNTIFS($AA$9:$AA$678,AA613)&gt;1),"Site web","")))</x:f>
      </x:c>
      <x:c r="J613" s="33" t="str">
        <x:v>Complexe Scolaire Hadja Mariama Dianken</x:v>
      </x:c>
      <x:c r="K613" s="33" t="str">
        <x:v>Éducation</x:v>
      </x:c>
      <x:c r="L613" s="33" t="str">
        <x:v>Écoles</x:v>
      </x:c>
      <x:c r="M613" s="33" t="str">
        <x:v>Conakry (à vérifier)</x:v>
      </x:c>
      <x:c r="N613" s="33" t="str"/>
      <x:c r="O613" s="33" t="str"/>
      <x:c r="P613" s="33" t="str">
        <x:v>+224662460399 -657779639</x:v>
      </x:c>
      <x:c r="Q613" s="33" t="str"/>
      <x:c r="R613" s="33" t="str"/>
      <x:c r="S613" s="33" t="str"/>
      <x:c r="T613" s="35" t="n">
        <x:v>9.6621469</x:v>
      </x:c>
      <x:c r="U613" s="35" t="n">
        <x:v>-13.5303498</x:v>
      </x:c>
      <x:c r="V613" s="33" t="str">
        <x:v>https://www.openstreetmap.org/way/546709371</x:v>
      </x:c>
      <x:c r="W613" s="33" t="str">
        <x:v>way/546709371</x:v>
      </x:c>
      <x:c r="X613" s="33" t="str">
        <x:v>review_required</x:v>
      </x:c>
      <x:c r="Y613" s="33" t="str">
        <x:v>complexe scolaire hadja mariama dianken|conakry a verifier</x:v>
      </x:c>
      <x:c r="Z613" s="33" t="str">
        <x:v>224662460399657779639</x:v>
      </x:c>
      <x:c r="AA613" s="33" t="str"/>
    </x:row>
    <x:row r="614">
      <x:c r="A614" s="30" t="str">
        <x:v>À vérifier</x:v>
      </x:c>
      <x:c r="B614" s="30" t="str"/>
      <x:c r="C614" s="31"/>
      <x:c r="D614" s="30" t="str">
        <x:v>Non vérifié</x:v>
      </x:c>
      <x:c r="E614" s="30" t="str"/>
      <x:c r="F614" s="30" t="str"/>
      <x:c r="G614" s="32" t="str"/>
      <x:c r="H614" s="33" t="str">
        <x:f>IF(I614&lt;&gt;"","Doublon possible","")</x:f>
      </x:c>
      <x:c r="I614" s="33" t="str">
        <x:f>IF(COUNTIFS($Y$9:$Y$678,Y614)&gt;1,"Nom + ville",IF(AND(Z614&lt;&gt;"",COUNTIFS($Z$9:$Z$678,Z614)&gt;1),"Téléphone",IF(AND(AA614&lt;&gt;"",COUNTIFS($AA$9:$AA$678,AA614)&gt;1),"Site web","")))</x:f>
      </x:c>
      <x:c r="J614" s="33" t="str">
        <x:v>CS Hadja Habibata Tounkara (HHT)</x:v>
      </x:c>
      <x:c r="K614" s="33" t="str">
        <x:v>Éducation</x:v>
      </x:c>
      <x:c r="L614" s="33" t="str">
        <x:v>Écoles</x:v>
      </x:c>
      <x:c r="M614" s="33" t="str">
        <x:v>Conakry (à vérifier)</x:v>
      </x:c>
      <x:c r="N614" s="33" t="str"/>
      <x:c r="O614" s="33" t="str"/>
      <x:c r="P614" s="33" t="str">
        <x:v>+224664272102</x:v>
      </x:c>
      <x:c r="Q614" s="33" t="str">
        <x:v>habibatatounka@yahoo.fr</x:v>
      </x:c>
      <x:c r="R614" s="33" t="str"/>
      <x:c r="S614" s="33" t="str"/>
      <x:c r="T614" s="35" t="n">
        <x:v>9.6708138</x:v>
      </x:c>
      <x:c r="U614" s="35" t="n">
        <x:v>-13.5860069</x:v>
      </x:c>
      <x:c r="V614" s="33" t="str">
        <x:v>https://www.openstreetmap.org/way/642027860</x:v>
      </x:c>
      <x:c r="W614" s="33" t="str">
        <x:v>way/642027860</x:v>
      </x:c>
      <x:c r="X614" s="33" t="str">
        <x:v>review_required</x:v>
      </x:c>
      <x:c r="Y614" s="33" t="str">
        <x:v>cs hadja habibata tounkara hht|conakry a verifier</x:v>
      </x:c>
      <x:c r="Z614" s="33" t="str">
        <x:v>224664272102</x:v>
      </x:c>
      <x:c r="AA614" s="33" t="str"/>
    </x:row>
    <x:row r="615">
      <x:c r="A615" s="30" t="str">
        <x:v>À vérifier</x:v>
      </x:c>
      <x:c r="B615" s="30" t="str"/>
      <x:c r="C615" s="31"/>
      <x:c r="D615" s="30" t="str">
        <x:v>Non vérifié</x:v>
      </x:c>
      <x:c r="E615" s="30" t="str"/>
      <x:c r="F615" s="30" t="str"/>
      <x:c r="G615" s="32" t="str"/>
      <x:c r="H615" s="33" t="str">
        <x:f>IF(I615&lt;&gt;"","Doublon possible","")</x:f>
      </x:c>
      <x:c r="I615" s="33" t="str">
        <x:f>IF(COUNTIFS($Y$9:$Y$678,Y615)&gt;1,"Nom + ville",IF(AND(Z615&lt;&gt;"",COUNTIFS($Z$9:$Z$678,Z615)&gt;1),"Téléphone",IF(AND(AA615&lt;&gt;"",COUNTIFS($AA$9:$AA$678,AA615)&gt;1),"Site web","")))</x:f>
      </x:c>
      <x:c r="J615" s="33" t="str">
        <x:v>CS Hadja Haby Diakité</x:v>
      </x:c>
      <x:c r="K615" s="33" t="str">
        <x:v>Éducation</x:v>
      </x:c>
      <x:c r="L615" s="33" t="str">
        <x:v>Écoles</x:v>
      </x:c>
      <x:c r="M615" s="33" t="str">
        <x:v>Conakry (à vérifier)</x:v>
      </x:c>
      <x:c r="N615" s="33" t="str"/>
      <x:c r="O615" s="33" t="str"/>
      <x:c r="P615" s="33" t="str">
        <x:v>628034576</x:v>
      </x:c>
      <x:c r="Q615" s="33" t="str">
        <x:v>baldekoin77@gmail.com</x:v>
      </x:c>
      <x:c r="R615" s="33" t="str"/>
      <x:c r="S615" s="33" t="str"/>
      <x:c r="T615" s="35" t="n">
        <x:v>9.7467412</x:v>
      </x:c>
      <x:c r="U615" s="35" t="n">
        <x:v>-13.5039906</x:v>
      </x:c>
      <x:c r="V615" s="33" t="str">
        <x:v>https://www.openstreetmap.org/node/6902197926</x:v>
      </x:c>
      <x:c r="W615" s="33" t="str">
        <x:v>node/6902197926</x:v>
      </x:c>
      <x:c r="X615" s="33" t="str">
        <x:v>review_required</x:v>
      </x:c>
      <x:c r="Y615" s="33" t="str">
        <x:v>cs hadja haby diakite|conakry a verifier</x:v>
      </x:c>
      <x:c r="Z615" s="33" t="str">
        <x:v>224628034576</x:v>
      </x:c>
      <x:c r="AA615" s="33" t="str"/>
    </x:row>
    <x:row r="616">
      <x:c r="A616" s="30" t="str">
        <x:v>À vérifier</x:v>
      </x:c>
      <x:c r="B616" s="30" t="str"/>
      <x:c r="C616" s="31"/>
      <x:c r="D616" s="30" t="str">
        <x:v>Non vérifié</x:v>
      </x:c>
      <x:c r="E616" s="30" t="str"/>
      <x:c r="F616" s="30" t="str"/>
      <x:c r="G616" s="32" t="str"/>
      <x:c r="H616" s="33" t="str">
        <x:f>IF(I616&lt;&gt;"","Doublon possible","")</x:f>
      </x:c>
      <x:c r="I616" s="33" t="str">
        <x:f>IF(COUNTIFS($Y$9:$Y$678,Y616)&gt;1,"Nom + ville",IF(AND(Z616&lt;&gt;"",COUNTIFS($Z$9:$Z$678,Z616)&gt;1),"Téléphone",IF(AND(AA616&lt;&gt;"",COUNTIFS($AA$9:$AA$678,AA616)&gt;1),"Site web","")))</x:f>
      </x:c>
      <x:c r="J616" s="33" t="str">
        <x:v>CS la bonne mère</x:v>
      </x:c>
      <x:c r="K616" s="33" t="str">
        <x:v>Éducation</x:v>
      </x:c>
      <x:c r="L616" s="33" t="str">
        <x:v>Écoles</x:v>
      </x:c>
      <x:c r="M616" s="33" t="str">
        <x:v>Conakry (à vérifier)</x:v>
      </x:c>
      <x:c r="N616" s="33" t="str"/>
      <x:c r="O616" s="33" t="str"/>
      <x:c r="P616" s="33" t="str">
        <x:v>+224622066980</x:v>
      </x:c>
      <x:c r="Q616" s="33" t="str"/>
      <x:c r="R616" s="33" t="str"/>
      <x:c r="S616" s="33" t="str"/>
      <x:c r="T616" s="35" t="n">
        <x:v>9.572966</x:v>
      </x:c>
      <x:c r="U616" s="35" t="n">
        <x:v>-13.6573237</x:v>
      </x:c>
      <x:c r="V616" s="33" t="str">
        <x:v>https://www.openstreetmap.org/node/6034747525</x:v>
      </x:c>
      <x:c r="W616" s="33" t="str">
        <x:v>node/6034747525</x:v>
      </x:c>
      <x:c r="X616" s="33" t="str">
        <x:v>review_required</x:v>
      </x:c>
      <x:c r="Y616" s="33" t="str">
        <x:v>cs la bonne mere|conakry a verifier</x:v>
      </x:c>
      <x:c r="Z616" s="33" t="str">
        <x:v>224622066980</x:v>
      </x:c>
      <x:c r="AA616" s="33" t="str"/>
    </x:row>
    <x:row r="617">
      <x:c r="A617" s="30" t="str">
        <x:v>À vérifier</x:v>
      </x:c>
      <x:c r="B617" s="30" t="str"/>
      <x:c r="C617" s="31"/>
      <x:c r="D617" s="30" t="str">
        <x:v>Non vérifié</x:v>
      </x:c>
      <x:c r="E617" s="30" t="str"/>
      <x:c r="F617" s="30" t="str"/>
      <x:c r="G617" s="32" t="str"/>
      <x:c r="H617" s="33" t="str">
        <x:f>IF(I617&lt;&gt;"","Doublon possible","")</x:f>
      </x:c>
      <x:c r="I617" s="33" t="str">
        <x:f>IF(COUNTIFS($Y$9:$Y$678,Y617)&gt;1,"Nom + ville",IF(AND(Z617&lt;&gt;"",COUNTIFS($Z$9:$Z$678,Z617)&gt;1),"Téléphone",IF(AND(AA617&lt;&gt;"",COUNTIFS($AA$9:$AA$678,AA617)&gt;1),"Site web","")))</x:f>
      </x:c>
      <x:c r="J617" s="33" t="str">
        <x:v>CS la Plume</x:v>
      </x:c>
      <x:c r="K617" s="33" t="str">
        <x:v>Éducation</x:v>
      </x:c>
      <x:c r="L617" s="33" t="str">
        <x:v>Écoles</x:v>
      </x:c>
      <x:c r="M617" s="33" t="str">
        <x:v>Conakry (à vérifier)</x:v>
      </x:c>
      <x:c r="N617" s="33" t="str"/>
      <x:c r="O617" s="33" t="str"/>
      <x:c r="P617" s="33" t="str">
        <x:v>+224622484484</x:v>
      </x:c>
      <x:c r="Q617" s="33" t="str">
        <x:v>complexeslaplumes@gmail.com</x:v>
      </x:c>
      <x:c r="R617" s="33" t="str"/>
      <x:c r="S617" s="33" t="str"/>
      <x:c r="T617" s="35" t="n">
        <x:v>9.5961251</x:v>
      </x:c>
      <x:c r="U617" s="35" t="n">
        <x:v>-13.6285682</x:v>
      </x:c>
      <x:c r="V617" s="33" t="str">
        <x:v>https://www.openstreetmap.org/node/6037439434</x:v>
      </x:c>
      <x:c r="W617" s="33" t="str">
        <x:v>node/6037439434</x:v>
      </x:c>
      <x:c r="X617" s="33" t="str">
        <x:v>review_required</x:v>
      </x:c>
      <x:c r="Y617" s="33" t="str">
        <x:v>cs la plume|conakry a verifier</x:v>
      </x:c>
      <x:c r="Z617" s="33" t="str">
        <x:v>224622484484</x:v>
      </x:c>
      <x:c r="AA617" s="33" t="str"/>
    </x:row>
    <x:row r="618">
      <x:c r="A618" s="30" t="str">
        <x:v>À vérifier</x:v>
      </x:c>
      <x:c r="B618" s="30" t="str"/>
      <x:c r="C618" s="31"/>
      <x:c r="D618" s="30" t="str">
        <x:v>Non vérifié</x:v>
      </x:c>
      <x:c r="E618" s="30" t="str"/>
      <x:c r="F618" s="30" t="str"/>
      <x:c r="G618" s="32" t="str"/>
      <x:c r="H618" s="33" t="str">
        <x:f>IF(I618&lt;&gt;"","Doublon possible","")</x:f>
      </x:c>
      <x:c r="I618" s="33" t="str">
        <x:f>IF(COUNTIFS($Y$9:$Y$678,Y618)&gt;1,"Nom + ville",IF(AND(Z618&lt;&gt;"",COUNTIFS($Z$9:$Z$678,Z618)&gt;1),"Téléphone",IF(AND(AA618&lt;&gt;"",COUNTIFS($AA$9:$AA$678,AA618)&gt;1),"Site web","")))</x:f>
      </x:c>
      <x:c r="J618" s="33" t="str">
        <x:v>CS Raka Fofana</x:v>
      </x:c>
      <x:c r="K618" s="33" t="str">
        <x:v>Éducation</x:v>
      </x:c>
      <x:c r="L618" s="33" t="str">
        <x:v>Écoles</x:v>
      </x:c>
      <x:c r="M618" s="33" t="str">
        <x:v>Conakry (à vérifier)</x:v>
      </x:c>
      <x:c r="N618" s="33" t="str"/>
      <x:c r="O618" s="33" t="str"/>
      <x:c r="P618" s="33" t="str">
        <x:v>+224662420202</x:v>
      </x:c>
      <x:c r="Q618" s="33" t="str"/>
      <x:c r="R618" s="33" t="str"/>
      <x:c r="S618" s="33" t="str"/>
      <x:c r="T618" s="35" t="n">
        <x:v>9.5670274</x:v>
      </x:c>
      <x:c r="U618" s="35" t="n">
        <x:v>-13.6347819</x:v>
      </x:c>
      <x:c r="V618" s="33" t="str">
        <x:v>https://www.openstreetmap.org/node/6069053649</x:v>
      </x:c>
      <x:c r="W618" s="33" t="str">
        <x:v>node/6069053649</x:v>
      </x:c>
      <x:c r="X618" s="33" t="str">
        <x:v>review_required</x:v>
      </x:c>
      <x:c r="Y618" s="33" t="str">
        <x:v>cs raka fofana|conakry a verifier</x:v>
      </x:c>
      <x:c r="Z618" s="33" t="str">
        <x:v>224662420202</x:v>
      </x:c>
      <x:c r="AA618" s="33" t="str"/>
    </x:row>
    <x:row r="619">
      <x:c r="A619" s="30" t="str">
        <x:v>À vérifier</x:v>
      </x:c>
      <x:c r="B619" s="30" t="str"/>
      <x:c r="C619" s="31"/>
      <x:c r="D619" s="30" t="str">
        <x:v>Non vérifié</x:v>
      </x:c>
      <x:c r="E619" s="30" t="str"/>
      <x:c r="F619" s="30" t="str"/>
      <x:c r="G619" s="32" t="str"/>
      <x:c r="H619" s="33" t="str">
        <x:f>IF(I619&lt;&gt;"","Doublon possible","")</x:f>
      </x:c>
      <x:c r="I619" s="33" t="str">
        <x:f>IF(COUNTIFS($Y$9:$Y$678,Y619)&gt;1,"Nom + ville",IF(AND(Z619&lt;&gt;"",COUNTIFS($Z$9:$Z$678,Z619)&gt;1),"Téléphone",IF(AND(AA619&lt;&gt;"",COUNTIFS($AA$9:$AA$678,AA619)&gt;1),"Site web","")))</x:f>
      </x:c>
      <x:c r="J619" s="33" t="str">
        <x:v>Ecole privé de Santé les sauveurs</x:v>
      </x:c>
      <x:c r="K619" s="33" t="str">
        <x:v>Éducation</x:v>
      </x:c>
      <x:c r="L619" s="33" t="str">
        <x:v>Universités</x:v>
      </x:c>
      <x:c r="M619" s="33" t="str">
        <x:v>Conakry (à vérifier)</x:v>
      </x:c>
      <x:c r="N619" s="33" t="str"/>
      <x:c r="O619" s="33" t="str"/>
      <x:c r="P619" s="33" t="str">
        <x:v>628436447</x:v>
      </x:c>
      <x:c r="Q619" s="33" t="str">
        <x:v>epslessauveurs@gmail.com</x:v>
      </x:c>
      <x:c r="R619" s="33" t="str"/>
      <x:c r="S619" s="33" t="str"/>
      <x:c r="T619" s="35" t="n">
        <x:v>9.5832446</x:v>
      </x:c>
      <x:c r="U619" s="35" t="n">
        <x:v>-13.6348255</x:v>
      </x:c>
      <x:c r="V619" s="33" t="str">
        <x:v>https://www.openstreetmap.org/node/11586538958</x:v>
      </x:c>
      <x:c r="W619" s="33" t="str">
        <x:v>node/11586538958</x:v>
      </x:c>
      <x:c r="X619" s="33" t="str">
        <x:v>review_required</x:v>
      </x:c>
      <x:c r="Y619" s="33" t="str">
        <x:v>ecole prive de sante les sauveurs|conakry a verifier</x:v>
      </x:c>
      <x:c r="Z619" s="33" t="str">
        <x:v>224628436447</x:v>
      </x:c>
      <x:c r="AA619" s="33" t="str"/>
    </x:row>
    <x:row r="620">
      <x:c r="A620" s="30" t="str">
        <x:v>À vérifier</x:v>
      </x:c>
      <x:c r="B620" s="30" t="str"/>
      <x:c r="C620" s="31"/>
      <x:c r="D620" s="30" t="str">
        <x:v>Non vérifié</x:v>
      </x:c>
      <x:c r="E620" s="30" t="str"/>
      <x:c r="F620" s="30" t="str"/>
      <x:c r="G620" s="32" t="str"/>
      <x:c r="H620" s="33" t="str">
        <x:f>IF(I620&lt;&gt;"","Doublon possible","")</x:f>
      </x:c>
      <x:c r="I620" s="33" t="str">
        <x:f>IF(COUNTIFS($Y$9:$Y$678,Y620)&gt;1,"Nom + ville",IF(AND(Z620&lt;&gt;"",COUNTIFS($Z$9:$Z$678,Z620)&gt;1),"Téléphone",IF(AND(AA620&lt;&gt;"",COUNTIFS($AA$9:$AA$678,AA620)&gt;1),"Site web","")))</x:f>
      </x:c>
      <x:c r="J620" s="33" t="str">
        <x:v>El Hadj Amadou Camara</x:v>
      </x:c>
      <x:c r="K620" s="33" t="str">
        <x:v>Éducation</x:v>
      </x:c>
      <x:c r="L620" s="33" t="str">
        <x:v>Universités</x:v>
      </x:c>
      <x:c r="M620" s="33" t="str">
        <x:v>Conakry (à vérifier)</x:v>
      </x:c>
      <x:c r="N620" s="33" t="str"/>
      <x:c r="O620" s="33" t="str"/>
      <x:c r="P620" s="33" t="str">
        <x:v>664652869 / 655678981</x:v>
      </x:c>
      <x:c r="Q620" s="33" t="str"/>
      <x:c r="R620" s="33" t="str"/>
      <x:c r="S620" s="33" t="str"/>
      <x:c r="T620" s="35" t="n">
        <x:v>9.5663479</x:v>
      </x:c>
      <x:c r="U620" s="35" t="n">
        <x:v>-13.6344006</x:v>
      </x:c>
      <x:c r="V620" s="33" t="str">
        <x:v>https://www.openstreetmap.org/node/6898451131</x:v>
      </x:c>
      <x:c r="W620" s="33" t="str">
        <x:v>node/6898451131</x:v>
      </x:c>
      <x:c r="X620" s="33" t="str">
        <x:v>review_required</x:v>
      </x:c>
      <x:c r="Y620" s="33" t="str">
        <x:v>el hadj amadou camara|conakry a verifier</x:v>
      </x:c>
      <x:c r="Z620" s="33" t="str">
        <x:v>664652869655678981</x:v>
      </x:c>
      <x:c r="AA620" s="33" t="str"/>
    </x:row>
    <x:row r="621">
      <x:c r="A621" s="30" t="str">
        <x:v>À vérifier</x:v>
      </x:c>
      <x:c r="B621" s="30" t="str"/>
      <x:c r="C621" s="31"/>
      <x:c r="D621" s="30" t="str">
        <x:v>Non vérifié</x:v>
      </x:c>
      <x:c r="E621" s="30" t="str"/>
      <x:c r="F621" s="30" t="str"/>
      <x:c r="G621" s="32" t="str"/>
      <x:c r="H621" s="33" t="str">
        <x:f>IF(I621&lt;&gt;"","Doublon possible","")</x:f>
      </x:c>
      <x:c r="I621" s="33" t="str">
        <x:f>IF(COUNTIFS($Y$9:$Y$678,Y621)&gt;1,"Nom + ville",IF(AND(Z621&lt;&gt;"",COUNTIFS($Z$9:$Z$678,Z621)&gt;1),"Téléphone",IF(AND(AA621&lt;&gt;"",COUNTIFS($AA$9:$AA$678,AA621)&gt;1),"Site web","")))</x:f>
      </x:c>
      <x:c r="J621" s="33" t="str">
        <x:v>Fodé Soumah</x:v>
      </x:c>
      <x:c r="K621" s="33" t="str">
        <x:v>Éducation</x:v>
      </x:c>
      <x:c r="L621" s="33" t="str">
        <x:v>Écoles</x:v>
      </x:c>
      <x:c r="M621" s="33" t="str">
        <x:v>Conakry (à vérifier)</x:v>
      </x:c>
      <x:c r="N621" s="33" t="str"/>
      <x:c r="O621" s="33" t="str"/>
      <x:c r="P621" s="33" t="str">
        <x:v>628719682</x:v>
      </x:c>
      <x:c r="Q621" s="33" t="str"/>
      <x:c r="R621" s="33" t="str"/>
      <x:c r="S621" s="33" t="str"/>
      <x:c r="T621" s="35" t="n">
        <x:v>9.6856494</x:v>
      </x:c>
      <x:c r="U621" s="35" t="n">
        <x:v>-13.5405344</x:v>
      </x:c>
      <x:c r="V621" s="33" t="str">
        <x:v>https://www.openstreetmap.org/node/8124880857</x:v>
      </x:c>
      <x:c r="W621" s="33" t="str">
        <x:v>node/8124880857</x:v>
      </x:c>
      <x:c r="X621" s="33" t="str">
        <x:v>review_required</x:v>
      </x:c>
      <x:c r="Y621" s="33" t="str">
        <x:v>fode soumah|conakry a verifier</x:v>
      </x:c>
      <x:c r="Z621" s="33" t="str">
        <x:v>224628719682</x:v>
      </x:c>
      <x:c r="AA621" s="33" t="str"/>
    </x:row>
    <x:row r="622">
      <x:c r="A622" s="30" t="str">
        <x:v>À vérifier</x:v>
      </x:c>
      <x:c r="B622" s="30" t="str"/>
      <x:c r="C622" s="31"/>
      <x:c r="D622" s="30" t="str">
        <x:v>Non vérifié</x:v>
      </x:c>
      <x:c r="E622" s="30" t="str"/>
      <x:c r="F622" s="30" t="str"/>
      <x:c r="G622" s="32" t="str"/>
      <x:c r="H622" s="33" t="str">
        <x:f>IF(I622&lt;&gt;"","Doublon possible","")</x:f>
      </x:c>
      <x:c r="I622" s="33" t="str">
        <x:f>IF(COUNTIFS($Y$9:$Y$678,Y622)&gt;1,"Nom + ville",IF(AND(Z622&lt;&gt;"",COUNTIFS($Z$9:$Z$678,Z622)&gt;1),"Téléphone",IF(AND(AA622&lt;&gt;"",COUNTIFS($AA$9:$AA$678,AA622)&gt;1),"Site web","")))</x:f>
      </x:c>
      <x:c r="J622" s="33" t="str">
        <x:v>G S Mohamed Barry</x:v>
      </x:c>
      <x:c r="K622" s="33" t="str">
        <x:v>Éducation</x:v>
      </x:c>
      <x:c r="L622" s="33" t="str">
        <x:v>Écoles</x:v>
      </x:c>
      <x:c r="M622" s="33" t="str">
        <x:v>Conakry (à vérifier)</x:v>
      </x:c>
      <x:c r="N622" s="33" t="str"/>
      <x:c r="O622" s="33" t="str">
        <x:v>Rue RO. 046</x:v>
      </x:c>
      <x:c r="P622" s="33" t="str"/>
      <x:c r="Q622" s="33" t="str"/>
      <x:c r="R622" s="33" t="str"/>
      <x:c r="S622" s="33" t="str"/>
      <x:c r="T622" s="35" t="n">
        <x:v>9.5715803</x:v>
      </x:c>
      <x:c r="U622" s="35" t="n">
        <x:v>-13.6470213</x:v>
      </x:c>
      <x:c r="V622" s="33" t="str">
        <x:v>https://www.openstreetmap.org/node/6163992685</x:v>
      </x:c>
      <x:c r="W622" s="33" t="str">
        <x:v>node/6163992685</x:v>
      </x:c>
      <x:c r="X622" s="33" t="str">
        <x:v>review_required</x:v>
      </x:c>
      <x:c r="Y622" s="33" t="str">
        <x:v>g s mohamed barry|conakry a verifier</x:v>
      </x:c>
      <x:c r="Z622" s="33" t="str"/>
      <x:c r="AA622" s="33" t="str"/>
    </x:row>
    <x:row r="623">
      <x:c r="A623" s="30" t="str">
        <x:v>À vérifier</x:v>
      </x:c>
      <x:c r="B623" s="30" t="str"/>
      <x:c r="C623" s="31"/>
      <x:c r="D623" s="30" t="str">
        <x:v>Non vérifié</x:v>
      </x:c>
      <x:c r="E623" s="30" t="str"/>
      <x:c r="F623" s="30" t="str"/>
      <x:c r="G623" s="32" t="str"/>
      <x:c r="H623" s="33" t="str">
        <x:f>IF(I623&lt;&gt;"","Doublon possible","")</x:f>
      </x:c>
      <x:c r="I623" s="33" t="str">
        <x:f>IF(COUNTIFS($Y$9:$Y$678,Y623)&gt;1,"Nom + ville",IF(AND(Z623&lt;&gt;"",COUNTIFS($Z$9:$Z$678,Z623)&gt;1),"Téléphone",IF(AND(AA623&lt;&gt;"",COUNTIFS($AA$9:$AA$678,AA623)&gt;1),"Site web","")))</x:f>
      </x:c>
      <x:c r="J623" s="33" t="str">
        <x:v>G. S Ibrahima kalil Konaté</x:v>
      </x:c>
      <x:c r="K623" s="33" t="str">
        <x:v>Éducation</x:v>
      </x:c>
      <x:c r="L623" s="33" t="str">
        <x:v>Écoles</x:v>
      </x:c>
      <x:c r="M623" s="33" t="str">
        <x:v>Conakry (à vérifier)</x:v>
      </x:c>
      <x:c r="N623" s="33" t="str"/>
      <x:c r="O623" s="33" t="str"/>
      <x:c r="P623" s="33" t="str">
        <x:v>+224620882329</x:v>
      </x:c>
      <x:c r="Q623" s="33" t="str"/>
      <x:c r="R623" s="33" t="str"/>
      <x:c r="S623" s="33" t="str"/>
      <x:c r="T623" s="35" t="n">
        <x:v>9.6316521</x:v>
      </x:c>
      <x:c r="U623" s="35" t="n">
        <x:v>-13.5738878</x:v>
      </x:c>
      <x:c r="V623" s="33" t="str">
        <x:v>https://www.openstreetmap.org/node/6072823594</x:v>
      </x:c>
      <x:c r="W623" s="33" t="str">
        <x:v>node/6072823594</x:v>
      </x:c>
      <x:c r="X623" s="33" t="str">
        <x:v>review_required</x:v>
      </x:c>
      <x:c r="Y623" s="33" t="str">
        <x:v>g s ibrahima kalil konate|conakry a verifier</x:v>
      </x:c>
      <x:c r="Z623" s="33" t="str">
        <x:v>224620882329</x:v>
      </x:c>
      <x:c r="AA623" s="33" t="str"/>
    </x:row>
    <x:row r="624">
      <x:c r="A624" s="30" t="str">
        <x:v>À vérifier</x:v>
      </x:c>
      <x:c r="B624" s="30" t="str"/>
      <x:c r="C624" s="31"/>
      <x:c r="D624" s="30" t="str">
        <x:v>Non vérifié</x:v>
      </x:c>
      <x:c r="E624" s="30" t="str"/>
      <x:c r="F624" s="30" t="str"/>
      <x:c r="G624" s="32" t="str"/>
      <x:c r="H624" s="33" t="str">
        <x:f>IF(I624&lt;&gt;"","Doublon possible","")</x:f>
      </x:c>
      <x:c r="I624" s="33" t="str">
        <x:f>IF(COUNTIFS($Y$9:$Y$678,Y624)&gt;1,"Nom + ville",IF(AND(Z624&lt;&gt;"",COUNTIFS($Z$9:$Z$678,Z624)&gt;1),"Téléphone",IF(AND(AA624&lt;&gt;"",COUNTIFS($AA$9:$AA$678,AA624)&gt;1),"Site web","")))</x:f>
      </x:c>
      <x:c r="J624" s="33" t="str">
        <x:v>Groupe scolaire Aboubacar Haïdara</x:v>
      </x:c>
      <x:c r="K624" s="33" t="str">
        <x:v>Éducation</x:v>
      </x:c>
      <x:c r="L624" s="33" t="str">
        <x:v>Écoles</x:v>
      </x:c>
      <x:c r="M624" s="33" t="str">
        <x:v>Conakry (à vérifier)</x:v>
      </x:c>
      <x:c r="N624" s="33" t="str"/>
      <x:c r="O624" s="33" t="str"/>
      <x:c r="P624" s="33" t="str">
        <x:v>620656408</x:v>
      </x:c>
      <x:c r="Q624" s="33" t="str"/>
      <x:c r="R624" s="33" t="str"/>
      <x:c r="S624" s="33" t="str"/>
      <x:c r="T624" s="35" t="n">
        <x:v>9.6817483</x:v>
      </x:c>
      <x:c r="U624" s="35" t="n">
        <x:v>-13.5433617</x:v>
      </x:c>
      <x:c r="V624" s="33" t="str">
        <x:v>https://www.openstreetmap.org/node/8261477441</x:v>
      </x:c>
      <x:c r="W624" s="33" t="str">
        <x:v>node/8261477441</x:v>
      </x:c>
      <x:c r="X624" s="33" t="str">
        <x:v>review_required</x:v>
      </x:c>
      <x:c r="Y624" s="33" t="str">
        <x:v>groupe scolaire aboubacar haidara|conakry a verifier</x:v>
      </x:c>
      <x:c r="Z624" s="33" t="str">
        <x:v>224620656408</x:v>
      </x:c>
      <x:c r="AA624" s="33" t="str"/>
    </x:row>
    <x:row r="625">
      <x:c r="A625" s="30" t="str">
        <x:v>À vérifier</x:v>
      </x:c>
      <x:c r="B625" s="30" t="str"/>
      <x:c r="C625" s="31"/>
      <x:c r="D625" s="30" t="str">
        <x:v>Non vérifié</x:v>
      </x:c>
      <x:c r="E625" s="30" t="str"/>
      <x:c r="F625" s="30" t="str"/>
      <x:c r="G625" s="32" t="str"/>
      <x:c r="H625" s="33" t="str">
        <x:f>IF(I625&lt;&gt;"","Doublon possible","")</x:f>
      </x:c>
      <x:c r="I625" s="33" t="str">
        <x:f>IF(COUNTIFS($Y$9:$Y$678,Y625)&gt;1,"Nom + ville",IF(AND(Z625&lt;&gt;"",COUNTIFS($Z$9:$Z$678,Z625)&gt;1),"Téléphone",IF(AND(AA625&lt;&gt;"",COUNTIFS($AA$9:$AA$678,AA625)&gt;1),"Site web","")))</x:f>
      </x:c>
      <x:c r="J625" s="33" t="str">
        <x:v>Groupe Scolaire Cheick Abdoul Kaba</x:v>
      </x:c>
      <x:c r="K625" s="33" t="str">
        <x:v>Éducation</x:v>
      </x:c>
      <x:c r="L625" s="33" t="str">
        <x:v>Écoles</x:v>
      </x:c>
      <x:c r="M625" s="33" t="str">
        <x:v>Conakry (à vérifier)</x:v>
      </x:c>
      <x:c r="N625" s="33" t="str"/>
      <x:c r="O625" s="33" t="str"/>
      <x:c r="P625" s="33" t="str">
        <x:v>+224622363820</x:v>
      </x:c>
      <x:c r="Q625" s="33" t="str"/>
      <x:c r="R625" s="33" t="str"/>
      <x:c r="S625" s="33" t="str"/>
      <x:c r="T625" s="35" t="n">
        <x:v>9.648613</x:v>
      </x:c>
      <x:c r="U625" s="35" t="n">
        <x:v>-13.5533904</x:v>
      </x:c>
      <x:c r="V625" s="33" t="str">
        <x:v>https://www.openstreetmap.org/node/5842711441</x:v>
      </x:c>
      <x:c r="W625" s="33" t="str">
        <x:v>node/5842711441</x:v>
      </x:c>
      <x:c r="X625" s="33" t="str">
        <x:v>review_required</x:v>
      </x:c>
      <x:c r="Y625" s="33" t="str">
        <x:v>groupe scolaire cheick abdoul kaba|conakry a verifier</x:v>
      </x:c>
      <x:c r="Z625" s="33" t="str">
        <x:v>224622363820</x:v>
      </x:c>
      <x:c r="AA625" s="33" t="str"/>
    </x:row>
    <x:row r="626">
      <x:c r="A626" s="30" t="str">
        <x:v>À vérifier</x:v>
      </x:c>
      <x:c r="B626" s="30" t="str"/>
      <x:c r="C626" s="31"/>
      <x:c r="D626" s="30" t="str">
        <x:v>Non vérifié</x:v>
      </x:c>
      <x:c r="E626" s="30" t="str"/>
      <x:c r="F626" s="30" t="str"/>
      <x:c r="G626" s="32" t="str"/>
      <x:c r="H626" s="33" t="str">
        <x:f>IF(I626&lt;&gt;"","Doublon possible","")</x:f>
      </x:c>
      <x:c r="I626" s="33" t="str">
        <x:f>IF(COUNTIFS($Y$9:$Y$678,Y626)&gt;1,"Nom + ville",IF(AND(Z626&lt;&gt;"",COUNTIFS($Z$9:$Z$678,Z626)&gt;1),"Téléphone",IF(AND(AA626&lt;&gt;"",COUNTIFS($AA$9:$AA$678,AA626)&gt;1),"Site web","")))</x:f>
      </x:c>
      <x:c r="J626" s="33" t="str">
        <x:v>Groupe scolaire le progrès</x:v>
      </x:c>
      <x:c r="K626" s="33" t="str">
        <x:v>Éducation</x:v>
      </x:c>
      <x:c r="L626" s="33" t="str">
        <x:v>Écoles</x:v>
      </x:c>
      <x:c r="M626" s="33" t="str">
        <x:v>Conakry (à vérifier)</x:v>
      </x:c>
      <x:c r="N626" s="33" t="str"/>
      <x:c r="O626" s="33" t="str"/>
      <x:c r="P626" s="33" t="str">
        <x:v>622132293</x:v>
      </x:c>
      <x:c r="Q626" s="33" t="str"/>
      <x:c r="R626" s="33" t="str"/>
      <x:c r="S626" s="33" t="str"/>
      <x:c r="T626" s="35" t="n">
        <x:v>9.680383</x:v>
      </x:c>
      <x:c r="U626" s="35" t="n">
        <x:v>-13.5430526</x:v>
      </x:c>
      <x:c r="V626" s="33" t="str">
        <x:v>https://www.openstreetmap.org/node/8124878851</x:v>
      </x:c>
      <x:c r="W626" s="33" t="str">
        <x:v>node/8124878851</x:v>
      </x:c>
      <x:c r="X626" s="33" t="str">
        <x:v>review_required</x:v>
      </x:c>
      <x:c r="Y626" s="33" t="str">
        <x:v>groupe scolaire le progres|conakry a verifier</x:v>
      </x:c>
      <x:c r="Z626" s="33" t="str">
        <x:v>224622132293</x:v>
      </x:c>
      <x:c r="AA626" s="33" t="str"/>
    </x:row>
    <x:row r="627">
      <x:c r="A627" s="30" t="str">
        <x:v>À vérifier</x:v>
      </x:c>
      <x:c r="B627" s="30" t="str"/>
      <x:c r="C627" s="31"/>
      <x:c r="D627" s="30" t="str">
        <x:v>Non vérifié</x:v>
      </x:c>
      <x:c r="E627" s="30" t="str"/>
      <x:c r="F627" s="30" t="str"/>
      <x:c r="G627" s="32" t="str"/>
      <x:c r="H627" s="33" t="str">
        <x:f>IF(I627&lt;&gt;"","Doublon possible","")</x:f>
      </x:c>
      <x:c r="I627" s="33" t="str">
        <x:f>IF(COUNTIFS($Y$9:$Y$678,Y627)&gt;1,"Nom + ville",IF(AND(Z627&lt;&gt;"",COUNTIFS($Z$9:$Z$678,Z627)&gt;1),"Téléphone",IF(AND(AA627&lt;&gt;"",COUNTIFS($AA$9:$AA$678,AA627)&gt;1),"Site web","")))</x:f>
      </x:c>
      <x:c r="J627" s="33" t="str">
        <x:v>Groupe Scolaire Oumar kaloga</x:v>
      </x:c>
      <x:c r="K627" s="33" t="str">
        <x:v>Éducation</x:v>
      </x:c>
      <x:c r="L627" s="33" t="str">
        <x:v>Écoles</x:v>
      </x:c>
      <x:c r="M627" s="33" t="str">
        <x:v>Conakry (à vérifier)</x:v>
      </x:c>
      <x:c r="N627" s="33" t="str"/>
      <x:c r="O627" s="33" t="str"/>
      <x:c r="P627" s="33" t="str">
        <x:v>620533755</x:v>
      </x:c>
      <x:c r="Q627" s="33" t="str"/>
      <x:c r="R627" s="33" t="str"/>
      <x:c r="S627" s="33" t="str"/>
      <x:c r="T627" s="35" t="n">
        <x:v>9.5745547</x:v>
      </x:c>
      <x:c r="U627" s="35" t="n">
        <x:v>-13.624955</x:v>
      </x:c>
      <x:c r="V627" s="33" t="str">
        <x:v>https://www.openstreetmap.org/node/9035666302</x:v>
      </x:c>
      <x:c r="W627" s="33" t="str">
        <x:v>node/9035666302</x:v>
      </x:c>
      <x:c r="X627" s="33" t="str">
        <x:v>review_required</x:v>
      </x:c>
      <x:c r="Y627" s="33" t="str">
        <x:v>groupe scolaire oumar kaloga|conakry a verifier</x:v>
      </x:c>
      <x:c r="Z627" s="33" t="str">
        <x:v>224620533755</x:v>
      </x:c>
      <x:c r="AA627" s="33" t="str"/>
    </x:row>
    <x:row r="628">
      <x:c r="A628" s="30" t="str">
        <x:v>À vérifier</x:v>
      </x:c>
      <x:c r="B628" s="30" t="str"/>
      <x:c r="C628" s="31"/>
      <x:c r="D628" s="30" t="str">
        <x:v>Non vérifié</x:v>
      </x:c>
      <x:c r="E628" s="30" t="str"/>
      <x:c r="F628" s="30" t="str"/>
      <x:c r="G628" s="32" t="str"/>
      <x:c r="H628" s="33" t="str">
        <x:f>IF(I628&lt;&gt;"","Doublon possible","")</x:f>
      </x:c>
      <x:c r="I628" s="33" t="str">
        <x:f>IF(COUNTIFS($Y$9:$Y$678,Y628)&gt;1,"Nom + ville",IF(AND(Z628&lt;&gt;"",COUNTIFS($Z$9:$Z$678,Z628)&gt;1),"Téléphone",IF(AND(AA628&lt;&gt;"",COUNTIFS($AA$9:$AA$678,AA628)&gt;1),"Site web","")))</x:f>
      </x:c>
      <x:c r="J628" s="33" t="str">
        <x:v>Groupe scolaire René Descartes</x:v>
      </x:c>
      <x:c r="K628" s="33" t="str">
        <x:v>Éducation</x:v>
      </x:c>
      <x:c r="L628" s="33" t="str">
        <x:v>Écoles</x:v>
      </x:c>
      <x:c r="M628" s="33" t="str">
        <x:v>Conakry (à vérifier)</x:v>
      </x:c>
      <x:c r="N628" s="33" t="str"/>
      <x:c r="O628" s="33" t="str"/>
      <x:c r="P628" s="33" t="str">
        <x:v>+224628332898</x:v>
      </x:c>
      <x:c r="Q628" s="33" t="str"/>
      <x:c r="R628" s="33" t="str"/>
      <x:c r="S628" s="33" t="str"/>
      <x:c r="T628" s="35" t="n">
        <x:v>9.6318136</x:v>
      </x:c>
      <x:c r="U628" s="35" t="n">
        <x:v>-13.5648</x:v>
      </x:c>
      <x:c r="V628" s="33" t="str">
        <x:v>https://www.openstreetmap.org/node/7394163458</x:v>
      </x:c>
      <x:c r="W628" s="33" t="str">
        <x:v>node/7394163458</x:v>
      </x:c>
      <x:c r="X628" s="33" t="str">
        <x:v>review_required</x:v>
      </x:c>
      <x:c r="Y628" s="33" t="str">
        <x:v>groupe scolaire rene descartes|conakry a verifier</x:v>
      </x:c>
      <x:c r="Z628" s="33" t="str">
        <x:v>224628332898</x:v>
      </x:c>
      <x:c r="AA628" s="33" t="str"/>
    </x:row>
    <x:row r="629">
      <x:c r="A629" s="30" t="str">
        <x:v>À vérifier</x:v>
      </x:c>
      <x:c r="B629" s="30" t="str"/>
      <x:c r="C629" s="31"/>
      <x:c r="D629" s="30" t="str">
        <x:v>Non vérifié</x:v>
      </x:c>
      <x:c r="E629" s="30" t="str"/>
      <x:c r="F629" s="30" t="str"/>
      <x:c r="G629" s="32" t="str"/>
      <x:c r="H629" s="33" t="str">
        <x:f>IF(I629&lt;&gt;"","Doublon possible","")</x:f>
      </x:c>
      <x:c r="I629" s="33" t="str">
        <x:f>IF(COUNTIFS($Y$9:$Y$678,Y629)&gt;1,"Nom + ville",IF(AND(Z629&lt;&gt;"",COUNTIFS($Z$9:$Z$678,Z629)&gt;1),"Téléphone",IF(AND(AA629&lt;&gt;"",COUNTIFS($AA$9:$AA$678,AA629)&gt;1),"Site web","")))</x:f>
      </x:c>
      <x:c r="J629" s="33" t="str">
        <x:v>GS Aboubacar Conte</x:v>
      </x:c>
      <x:c r="K629" s="33" t="str">
        <x:v>Éducation</x:v>
      </x:c>
      <x:c r="L629" s="33" t="str">
        <x:v>Écoles</x:v>
      </x:c>
      <x:c r="M629" s="33" t="str">
        <x:v>Conakry (à vérifier)</x:v>
      </x:c>
      <x:c r="N629" s="33" t="str"/>
      <x:c r="O629" s="33" t="str"/>
      <x:c r="P629" s="33" t="str">
        <x:v>+224664240632</x:v>
      </x:c>
      <x:c r="Q629" s="33" t="str"/>
      <x:c r="R629" s="33" t="str"/>
      <x:c r="S629" s="33" t="str"/>
      <x:c r="T629" s="35" t="n">
        <x:v>9.5733628</x:v>
      </x:c>
      <x:c r="U629" s="35" t="n">
        <x:v>-13.6294924</x:v>
      </x:c>
      <x:c r="V629" s="33" t="str">
        <x:v>https://www.openstreetmap.org/node/6011952480</x:v>
      </x:c>
      <x:c r="W629" s="33" t="str">
        <x:v>node/6011952480</x:v>
      </x:c>
      <x:c r="X629" s="33" t="str">
        <x:v>review_required</x:v>
      </x:c>
      <x:c r="Y629" s="33" t="str">
        <x:v>gs aboubacar conte|conakry a verifier</x:v>
      </x:c>
      <x:c r="Z629" s="33" t="str">
        <x:v>224664240632</x:v>
      </x:c>
      <x:c r="AA629" s="33" t="str"/>
    </x:row>
    <x:row r="630">
      <x:c r="A630" s="30" t="str">
        <x:v>À vérifier</x:v>
      </x:c>
      <x:c r="B630" s="30" t="str"/>
      <x:c r="C630" s="31"/>
      <x:c r="D630" s="30" t="str">
        <x:v>Non vérifié</x:v>
      </x:c>
      <x:c r="E630" s="30" t="str"/>
      <x:c r="F630" s="30" t="str"/>
      <x:c r="G630" s="32" t="str"/>
      <x:c r="H630" s="33" t="str">
        <x:f>IF(I630&lt;&gt;"","Doublon possible","")</x:f>
      </x:c>
      <x:c r="I630" s="33" t="str">
        <x:f>IF(COUNTIFS($Y$9:$Y$678,Y630)&gt;1,"Nom + ville",IF(AND(Z630&lt;&gt;"",COUNTIFS($Z$9:$Z$678,Z630)&gt;1),"Téléphone",IF(AND(AA630&lt;&gt;"",COUNTIFS($AA$9:$AA$678,AA630)&gt;1),"Site web","")))</x:f>
      </x:c>
      <x:c r="J630" s="33" t="str">
        <x:v>GS Columbia school</x:v>
      </x:c>
      <x:c r="K630" s="33" t="str">
        <x:v>Éducation</x:v>
      </x:c>
      <x:c r="L630" s="33" t="str">
        <x:v>Écoles</x:v>
      </x:c>
      <x:c r="M630" s="33" t="str">
        <x:v>Conakry (à vérifier)</x:v>
      </x:c>
      <x:c r="N630" s="33" t="str"/>
      <x:c r="O630" s="33" t="str"/>
      <x:c r="P630" s="33" t="str">
        <x:v>+224625945212</x:v>
      </x:c>
      <x:c r="Q630" s="33" t="str"/>
      <x:c r="R630" s="33" t="str"/>
      <x:c r="S630" s="33" t="str"/>
      <x:c r="T630" s="35" t="n">
        <x:v>9.5965447</x:v>
      </x:c>
      <x:c r="U630" s="35" t="n">
        <x:v>-13.6435783</x:v>
      </x:c>
      <x:c r="V630" s="33" t="str">
        <x:v>https://www.openstreetmap.org/node/6049813042</x:v>
      </x:c>
      <x:c r="W630" s="33" t="str">
        <x:v>node/6049813042</x:v>
      </x:c>
      <x:c r="X630" s="33" t="str">
        <x:v>review_required</x:v>
      </x:c>
      <x:c r="Y630" s="33" t="str">
        <x:v>gs columbia school|conakry a verifier</x:v>
      </x:c>
      <x:c r="Z630" s="33" t="str">
        <x:v>224625945212</x:v>
      </x:c>
      <x:c r="AA630" s="33" t="str"/>
    </x:row>
    <x:row r="631">
      <x:c r="A631" s="30" t="str">
        <x:v>À vérifier</x:v>
      </x:c>
      <x:c r="B631" s="30" t="str"/>
      <x:c r="C631" s="31"/>
      <x:c r="D631" s="30" t="str">
        <x:v>Non vérifié</x:v>
      </x:c>
      <x:c r="E631" s="30" t="str"/>
      <x:c r="F631" s="30" t="str"/>
      <x:c r="G631" s="32" t="str"/>
      <x:c r="H631" s="33" t="str">
        <x:f>IF(I631&lt;&gt;"","Doublon possible","")</x:f>
      </x:c>
      <x:c r="I631" s="33" t="str">
        <x:f>IF(COUNTIFS($Y$9:$Y$678,Y631)&gt;1,"Nom + ville",IF(AND(Z631&lt;&gt;"",COUNTIFS($Z$9:$Z$678,Z631)&gt;1),"Téléphone",IF(AND(AA631&lt;&gt;"",COUNTIFS($AA$9:$AA$678,AA631)&gt;1),"Site web","")))</x:f>
      </x:c>
      <x:c r="J631" s="33" t="str">
        <x:v>GS Doudhal</x:v>
      </x:c>
      <x:c r="K631" s="33" t="str">
        <x:v>Éducation</x:v>
      </x:c>
      <x:c r="L631" s="33" t="str">
        <x:v>Écoles</x:v>
      </x:c>
      <x:c r="M631" s="33" t="str">
        <x:v>Conakry (à vérifier)</x:v>
      </x:c>
      <x:c r="N631" s="33" t="str"/>
      <x:c r="O631" s="33" t="str"/>
      <x:c r="P631" s="33" t="str">
        <x:v>+224628899723</x:v>
      </x:c>
      <x:c r="Q631" s="33" t="str"/>
      <x:c r="R631" s="33" t="str"/>
      <x:c r="S631" s="33" t="str"/>
      <x:c r="T631" s="35" t="n">
        <x:v>9.5497429</x:v>
      </x:c>
      <x:c r="U631" s="35" t="n">
        <x:v>-13.6700053</x:v>
      </x:c>
      <x:c r="V631" s="33" t="str">
        <x:v>https://www.openstreetmap.org/node/5961433491</x:v>
      </x:c>
      <x:c r="W631" s="33" t="str">
        <x:v>node/5961433491</x:v>
      </x:c>
      <x:c r="X631" s="33" t="str">
        <x:v>review_required</x:v>
      </x:c>
      <x:c r="Y631" s="33" t="str">
        <x:v>gs doudhal|conakry a verifier</x:v>
      </x:c>
      <x:c r="Z631" s="33" t="str">
        <x:v>224628899723</x:v>
      </x:c>
      <x:c r="AA631" s="33" t="str"/>
    </x:row>
    <x:row r="632">
      <x:c r="A632" s="30" t="str">
        <x:v>À vérifier</x:v>
      </x:c>
      <x:c r="B632" s="30" t="str"/>
      <x:c r="C632" s="31"/>
      <x:c r="D632" s="30" t="str">
        <x:v>Non vérifié</x:v>
      </x:c>
      <x:c r="E632" s="30" t="str"/>
      <x:c r="F632" s="30" t="str"/>
      <x:c r="G632" s="32" t="str"/>
      <x:c r="H632" s="33" t="str">
        <x:f>IF(I632&lt;&gt;"","Doublon possible","")</x:f>
      </x:c>
      <x:c r="I632" s="33" t="str">
        <x:f>IF(COUNTIFS($Y$9:$Y$678,Y632)&gt;1,"Nom + ville",IF(AND(Z632&lt;&gt;"",COUNTIFS($Z$9:$Z$678,Z632)&gt;1),"Téléphone",IF(AND(AA632&lt;&gt;"",COUNTIFS($AA$9:$AA$678,AA632)&gt;1),"Site web","")))</x:f>
      </x:c>
      <x:c r="J632" s="33" t="str">
        <x:v>GS Entag Fassa de Conakry</x:v>
      </x:c>
      <x:c r="K632" s="33" t="str">
        <x:v>Éducation</x:v>
      </x:c>
      <x:c r="L632" s="33" t="str">
        <x:v>Écoles</x:v>
      </x:c>
      <x:c r="M632" s="33" t="str">
        <x:v>Conakry (à vérifier)</x:v>
      </x:c>
      <x:c r="N632" s="33" t="str"/>
      <x:c r="O632" s="33" t="str"/>
      <x:c r="P632" s="33" t="str">
        <x:v>621080284</x:v>
      </x:c>
      <x:c r="Q632" s="33" t="str">
        <x:v>fassaentag@gmail.com</x:v>
      </x:c>
      <x:c r="R632" s="33" t="str"/>
      <x:c r="S632" s="33" t="str"/>
      <x:c r="T632" s="35" t="n">
        <x:v>9.6350201</x:v>
      </x:c>
      <x:c r="U632" s="35" t="n">
        <x:v>-13.5629282</x:v>
      </x:c>
      <x:c r="V632" s="33" t="str">
        <x:v>https://www.openstreetmap.org/node/11037309538</x:v>
      </x:c>
      <x:c r="W632" s="33" t="str">
        <x:v>node/11037309538</x:v>
      </x:c>
      <x:c r="X632" s="33" t="str">
        <x:v>review_required</x:v>
      </x:c>
      <x:c r="Y632" s="33" t="str">
        <x:v>gs entag fassa de conakry|conakry a verifier</x:v>
      </x:c>
      <x:c r="Z632" s="33" t="str">
        <x:v>224621080284</x:v>
      </x:c>
      <x:c r="AA632" s="33" t="str"/>
    </x:row>
    <x:row r="633">
      <x:c r="A633" s="30" t="str">
        <x:v>À vérifier</x:v>
      </x:c>
      <x:c r="B633" s="30" t="str"/>
      <x:c r="C633" s="31"/>
      <x:c r="D633" s="30" t="str">
        <x:v>Non vérifié</x:v>
      </x:c>
      <x:c r="E633" s="30" t="str"/>
      <x:c r="F633" s="30" t="str"/>
      <x:c r="G633" s="32" t="str"/>
      <x:c r="H633" s="33" t="str">
        <x:f>IF(I633&lt;&gt;"","Doublon possible","")</x:f>
      </x:c>
      <x:c r="I633" s="33" t="str">
        <x:f>IF(COUNTIFS($Y$9:$Y$678,Y633)&gt;1,"Nom + ville",IF(AND(Z633&lt;&gt;"",COUNTIFS($Z$9:$Z$678,Z633)&gt;1),"Téléphone",IF(AND(AA633&lt;&gt;"",COUNTIFS($AA$9:$AA$678,AA633)&gt;1),"Site web","")))</x:f>
      </x:c>
      <x:c r="J633" s="33" t="str">
        <x:v>GS Fatoumata Toure</x:v>
      </x:c>
      <x:c r="K633" s="33" t="str">
        <x:v>Éducation</x:v>
      </x:c>
      <x:c r="L633" s="33" t="str">
        <x:v>Écoles</x:v>
      </x:c>
      <x:c r="M633" s="33" t="str">
        <x:v>Conakry (à vérifier)</x:v>
      </x:c>
      <x:c r="N633" s="33" t="str"/>
      <x:c r="O633" s="33" t="str"/>
      <x:c r="P633" s="33" t="str">
        <x:v>+224625726049</x:v>
      </x:c>
      <x:c r="Q633" s="33" t="str"/>
      <x:c r="R633" s="33" t="str"/>
      <x:c r="S633" s="33" t="str"/>
      <x:c r="T633" s="35" t="n">
        <x:v>9.5665264</x:v>
      </x:c>
      <x:c r="U633" s="35" t="n">
        <x:v>-13.6540441</x:v>
      </x:c>
      <x:c r="V633" s="33" t="str">
        <x:v>https://www.openstreetmap.org/node/5977003706</x:v>
      </x:c>
      <x:c r="W633" s="33" t="str">
        <x:v>node/5977003706</x:v>
      </x:c>
      <x:c r="X633" s="33" t="str">
        <x:v>review_required</x:v>
      </x:c>
      <x:c r="Y633" s="33" t="str">
        <x:v>gs fatoumata toure|conakry a verifier</x:v>
      </x:c>
      <x:c r="Z633" s="33" t="str">
        <x:v>224625726049</x:v>
      </x:c>
      <x:c r="AA633" s="33" t="str"/>
    </x:row>
    <x:row r="634">
      <x:c r="A634" s="30" t="str">
        <x:v>À vérifier</x:v>
      </x:c>
      <x:c r="B634" s="30" t="str"/>
      <x:c r="C634" s="31"/>
      <x:c r="D634" s="30" t="str">
        <x:v>Non vérifié</x:v>
      </x:c>
      <x:c r="E634" s="30" t="str"/>
      <x:c r="F634" s="30" t="str"/>
      <x:c r="G634" s="32" t="str"/>
      <x:c r="H634" s="33" t="str">
        <x:f>IF(I634&lt;&gt;"","Doublon possible","")</x:f>
      </x:c>
      <x:c r="I634" s="33" t="str">
        <x:f>IF(COUNTIFS($Y$9:$Y$678,Y634)&gt;1,"Nom + ville",IF(AND(Z634&lt;&gt;"",COUNTIFS($Z$9:$Z$678,Z634)&gt;1),"Téléphone",IF(AND(AA634&lt;&gt;"",COUNTIFS($AA$9:$AA$678,AA634)&gt;1),"Site web","")))</x:f>
      </x:c>
      <x:c r="J634" s="33" t="str">
        <x:v>GS Gjomba Amara TRAORE</x:v>
      </x:c>
      <x:c r="K634" s="33" t="str">
        <x:v>Éducation</x:v>
      </x:c>
      <x:c r="L634" s="33" t="str">
        <x:v>Écoles</x:v>
      </x:c>
      <x:c r="M634" s="33" t="str">
        <x:v>Conakry (à vérifier)</x:v>
      </x:c>
      <x:c r="N634" s="33" t="str"/>
      <x:c r="O634" s="33" t="str"/>
      <x:c r="P634" s="33" t="str">
        <x:v>+224660912223</x:v>
      </x:c>
      <x:c r="Q634" s="33" t="str"/>
      <x:c r="R634" s="33" t="str"/>
      <x:c r="S634" s="33" t="str"/>
      <x:c r="T634" s="35" t="n">
        <x:v>9.6945052</x:v>
      </x:c>
      <x:c r="U634" s="35" t="n">
        <x:v>-13.5016495</x:v>
      </x:c>
      <x:c r="V634" s="33" t="str">
        <x:v>https://www.openstreetmap.org/way/539127137</x:v>
      </x:c>
      <x:c r="W634" s="33" t="str">
        <x:v>way/539127137</x:v>
      </x:c>
      <x:c r="X634" s="33" t="str">
        <x:v>review_required</x:v>
      </x:c>
      <x:c r="Y634" s="33" t="str">
        <x:v>gs gjomba amara traore|conakry a verifier</x:v>
      </x:c>
      <x:c r="Z634" s="33" t="str">
        <x:v>224660912223</x:v>
      </x:c>
      <x:c r="AA634" s="33" t="str"/>
    </x:row>
    <x:row r="635">
      <x:c r="A635" s="30" t="str">
        <x:v>À vérifier</x:v>
      </x:c>
      <x:c r="B635" s="30" t="str"/>
      <x:c r="C635" s="31"/>
      <x:c r="D635" s="30" t="str">
        <x:v>Non vérifié</x:v>
      </x:c>
      <x:c r="E635" s="30" t="str"/>
      <x:c r="F635" s="30" t="str"/>
      <x:c r="G635" s="32" t="str"/>
      <x:c r="H635" s="33" t="str">
        <x:f>IF(I635&lt;&gt;"","Doublon possible","")</x:f>
      </x:c>
      <x:c r="I635" s="33" t="str">
        <x:f>IF(COUNTIFS($Y$9:$Y$678,Y635)&gt;1,"Nom + ville",IF(AND(Z635&lt;&gt;"",COUNTIFS($Z$9:$Z$678,Z635)&gt;1),"Téléphone",IF(AND(AA635&lt;&gt;"",COUNTIFS($AA$9:$AA$678,AA635)&gt;1),"Site web","")))</x:f>
      </x:c>
      <x:c r="J635" s="33" t="str">
        <x:v>GS Hadja Aïssata Dramé</x:v>
      </x:c>
      <x:c r="K635" s="33" t="str">
        <x:v>Éducation</x:v>
      </x:c>
      <x:c r="L635" s="33" t="str">
        <x:v>Écoles</x:v>
      </x:c>
      <x:c r="M635" s="33" t="str">
        <x:v>Conakry (à vérifier)</x:v>
      </x:c>
      <x:c r="N635" s="33" t="str"/>
      <x:c r="O635" s="33" t="str"/>
      <x:c r="P635" s="33" t="str">
        <x:v>+224626870973</x:v>
      </x:c>
      <x:c r="Q635" s="33" t="str">
        <x:v>gshad2006@yahoo.com</x:v>
      </x:c>
      <x:c r="R635" s="33" t="str"/>
      <x:c r="S635" s="33" t="str"/>
      <x:c r="T635" s="35" t="n">
        <x:v>9.6685998</x:v>
      </x:c>
      <x:c r="U635" s="35" t="n">
        <x:v>-13.5651822</x:v>
      </x:c>
      <x:c r="V635" s="33" t="str">
        <x:v>https://www.openstreetmap.org/node/6023246846</x:v>
      </x:c>
      <x:c r="W635" s="33" t="str">
        <x:v>node/6023246846</x:v>
      </x:c>
      <x:c r="X635" s="33" t="str">
        <x:v>review_required</x:v>
      </x:c>
      <x:c r="Y635" s="33" t="str">
        <x:v>gs hadja aissata drame|conakry a verifier</x:v>
      </x:c>
      <x:c r="Z635" s="33" t="str">
        <x:v>224626870973</x:v>
      </x:c>
      <x:c r="AA635" s="33" t="str"/>
    </x:row>
    <x:row r="636">
      <x:c r="A636" s="30" t="str">
        <x:v>À vérifier</x:v>
      </x:c>
      <x:c r="B636" s="30" t="str"/>
      <x:c r="C636" s="31"/>
      <x:c r="D636" s="30" t="str">
        <x:v>Non vérifié</x:v>
      </x:c>
      <x:c r="E636" s="30" t="str"/>
      <x:c r="F636" s="30" t="str"/>
      <x:c r="G636" s="32" t="str"/>
      <x:c r="H636" s="33" t="str">
        <x:f>IF(I636&lt;&gt;"","Doublon possible","")</x:f>
      </x:c>
      <x:c r="I636" s="33" t="str">
        <x:f>IF(COUNTIFS($Y$9:$Y$678,Y636)&gt;1,"Nom + ville",IF(AND(Z636&lt;&gt;"",COUNTIFS($Z$9:$Z$678,Z636)&gt;1),"Téléphone",IF(AND(AA636&lt;&gt;"",COUNTIFS($AA$9:$AA$678,AA636)&gt;1),"Site web","")))</x:f>
      </x:c>
      <x:c r="J636" s="33" t="str">
        <x:v>GS Hadja M'Balou</x:v>
      </x:c>
      <x:c r="K636" s="33" t="str">
        <x:v>Éducation</x:v>
      </x:c>
      <x:c r="L636" s="33" t="str">
        <x:v>Écoles</x:v>
      </x:c>
      <x:c r="M636" s="33" t="str">
        <x:v>Conakry (à vérifier)</x:v>
      </x:c>
      <x:c r="N636" s="33" t="str"/>
      <x:c r="O636" s="33" t="str"/>
      <x:c r="P636" s="33" t="str">
        <x:v>+224664501464</x:v>
      </x:c>
      <x:c r="Q636" s="33" t="str"/>
      <x:c r="R636" s="33" t="str"/>
      <x:c r="S636" s="33" t="str"/>
      <x:c r="T636" s="35" t="n">
        <x:v>9.5578644</x:v>
      </x:c>
      <x:c r="U636" s="35" t="n">
        <x:v>-13.6460785</x:v>
      </x:c>
      <x:c r="V636" s="33" t="str">
        <x:v>https://www.openstreetmap.org/node/5939260284</x:v>
      </x:c>
      <x:c r="W636" s="33" t="str">
        <x:v>node/5939260284</x:v>
      </x:c>
      <x:c r="X636" s="33" t="str">
        <x:v>review_required</x:v>
      </x:c>
      <x:c r="Y636" s="33" t="str">
        <x:v>gs hadja m balou|conakry a verifier</x:v>
      </x:c>
      <x:c r="Z636" s="33" t="str">
        <x:v>224664501464</x:v>
      </x:c>
      <x:c r="AA636" s="33" t="str"/>
    </x:row>
    <x:row r="637">
      <x:c r="A637" s="30" t="str">
        <x:v>À vérifier</x:v>
      </x:c>
      <x:c r="B637" s="30" t="str"/>
      <x:c r="C637" s="31"/>
      <x:c r="D637" s="30" t="str">
        <x:v>Non vérifié</x:v>
      </x:c>
      <x:c r="E637" s="30" t="str"/>
      <x:c r="F637" s="30" t="str"/>
      <x:c r="G637" s="32" t="str"/>
      <x:c r="H637" s="33" t="str">
        <x:f>IF(I637&lt;&gt;"","Doublon possible","")</x:f>
      </x:c>
      <x:c r="I637" s="33" t="str">
        <x:f>IF(COUNTIFS($Y$9:$Y$678,Y637)&gt;1,"Nom + ville",IF(AND(Z637&lt;&gt;"",COUNTIFS($Z$9:$Z$678,Z637)&gt;1),"Téléphone",IF(AND(AA637&lt;&gt;"",COUNTIFS($AA$9:$AA$678,AA637)&gt;1),"Site web","")))</x:f>
      </x:c>
      <x:c r="J637" s="33" t="str">
        <x:v>GS Hadja Safourata Bah 2</x:v>
      </x:c>
      <x:c r="K637" s="33" t="str">
        <x:v>Éducation</x:v>
      </x:c>
      <x:c r="L637" s="33" t="str">
        <x:v>Écoles</x:v>
      </x:c>
      <x:c r="M637" s="33" t="str">
        <x:v>Conakry (à vérifier)</x:v>
      </x:c>
      <x:c r="N637" s="33" t="str"/>
      <x:c r="O637" s="33" t="str"/>
      <x:c r="P637" s="33" t="str">
        <x:v>629546060</x:v>
      </x:c>
      <x:c r="Q637" s="33" t="str"/>
      <x:c r="R637" s="33" t="str"/>
      <x:c r="S637" s="33" t="str"/>
      <x:c r="T637" s="35" t="n">
        <x:v>9.6685256</x:v>
      </x:c>
      <x:c r="U637" s="35" t="n">
        <x:v>-13.5887248</x:v>
      </x:c>
      <x:c r="V637" s="33" t="str">
        <x:v>https://www.openstreetmap.org/node/10020463037</x:v>
      </x:c>
      <x:c r="W637" s="33" t="str">
        <x:v>node/10020463037</x:v>
      </x:c>
      <x:c r="X637" s="33" t="str">
        <x:v>review_required</x:v>
      </x:c>
      <x:c r="Y637" s="33" t="str">
        <x:v>gs hadja safourata bah 2|conakry a verifier</x:v>
      </x:c>
      <x:c r="Z637" s="33" t="str">
        <x:v>224629546060</x:v>
      </x:c>
      <x:c r="AA637" s="33" t="str"/>
    </x:row>
    <x:row r="638">
      <x:c r="A638" s="30" t="str">
        <x:v>À vérifier</x:v>
      </x:c>
      <x:c r="B638" s="30" t="str"/>
      <x:c r="C638" s="31"/>
      <x:c r="D638" s="30" t="str">
        <x:v>Non vérifié</x:v>
      </x:c>
      <x:c r="E638" s="30" t="str"/>
      <x:c r="F638" s="30" t="str"/>
      <x:c r="G638" s="32" t="str"/>
      <x:c r="H638" s="33" t="str">
        <x:f>IF(I638&lt;&gt;"","Doublon possible","")</x:f>
      </x:c>
      <x:c r="I638" s="33" t="str">
        <x:f>IF(COUNTIFS($Y$9:$Y$678,Y638)&gt;1,"Nom + ville",IF(AND(Z638&lt;&gt;"",COUNTIFS($Z$9:$Z$678,Z638)&gt;1),"Téléphone",IF(AND(AA638&lt;&gt;"",COUNTIFS($AA$9:$AA$678,AA638)&gt;1),"Site web","")))</x:f>
      </x:c>
      <x:c r="J638" s="33" t="str">
        <x:v>Gs Ibrahima Abe Sylla</x:v>
      </x:c>
      <x:c r="K638" s="33" t="str">
        <x:v>Éducation</x:v>
      </x:c>
      <x:c r="L638" s="33" t="str">
        <x:v>Écoles</x:v>
      </x:c>
      <x:c r="M638" s="33" t="str">
        <x:v>Conakry (à vérifier)</x:v>
      </x:c>
      <x:c r="N638" s="33" t="str"/>
      <x:c r="O638" s="33" t="str"/>
      <x:c r="P638" s="33" t="str">
        <x:v>628574778 / 664539942</x:v>
      </x:c>
      <x:c r="Q638" s="33" t="str"/>
      <x:c r="R638" s="33" t="str"/>
      <x:c r="S638" s="33" t="str"/>
      <x:c r="T638" s="35" t="n">
        <x:v>9.6615123</x:v>
      </x:c>
      <x:c r="U638" s="35" t="n">
        <x:v>-13.5800381</x:v>
      </x:c>
      <x:c r="V638" s="33" t="str">
        <x:v>https://www.openstreetmap.org/node/6909084763</x:v>
      </x:c>
      <x:c r="W638" s="33" t="str">
        <x:v>node/6909084763</x:v>
      </x:c>
      <x:c r="X638" s="33" t="str">
        <x:v>review_required</x:v>
      </x:c>
      <x:c r="Y638" s="33" t="str">
        <x:v>gs ibrahima abe sylla|conakry a verifier</x:v>
      </x:c>
      <x:c r="Z638" s="33" t="str">
        <x:v>628574778664539942</x:v>
      </x:c>
      <x:c r="AA638" s="33" t="str"/>
    </x:row>
    <x:row r="639">
      <x:c r="A639" s="30" t="str">
        <x:v>À vérifier</x:v>
      </x:c>
      <x:c r="B639" s="30" t="str"/>
      <x:c r="C639" s="31"/>
      <x:c r="D639" s="30" t="str">
        <x:v>Non vérifié</x:v>
      </x:c>
      <x:c r="E639" s="30" t="str"/>
      <x:c r="F639" s="30" t="str"/>
      <x:c r="G639" s="32" t="str"/>
      <x:c r="H639" s="33" t="str">
        <x:f>IF(I639&lt;&gt;"","Doublon possible","")</x:f>
      </x:c>
      <x:c r="I639" s="33" t="str">
        <x:f>IF(COUNTIFS($Y$9:$Y$678,Y639)&gt;1,"Nom + ville",IF(AND(Z639&lt;&gt;"",COUNTIFS($Z$9:$Z$678,Z639)&gt;1),"Téléphone",IF(AND(AA639&lt;&gt;"",COUNTIFS($AA$9:$AA$678,AA639)&gt;1),"Site web","")))</x:f>
      </x:c>
      <x:c r="J639" s="33" t="str">
        <x:v>GS la Diversité</x:v>
      </x:c>
      <x:c r="K639" s="33" t="str">
        <x:v>Éducation</x:v>
      </x:c>
      <x:c r="L639" s="33" t="str">
        <x:v>Écoles</x:v>
      </x:c>
      <x:c r="M639" s="33" t="str">
        <x:v>Conakry (à vérifier)</x:v>
      </x:c>
      <x:c r="N639" s="33" t="str"/>
      <x:c r="O639" s="33" t="str"/>
      <x:c r="P639" s="33" t="str">
        <x:v>620712002</x:v>
      </x:c>
      <x:c r="Q639" s="33" t="str"/>
      <x:c r="R639" s="33" t="str"/>
      <x:c r="S639" s="33" t="str"/>
      <x:c r="T639" s="35" t="n">
        <x:v>9.5711539</x:v>
      </x:c>
      <x:c r="U639" s="35" t="n">
        <x:v>-13.6406844</x:v>
      </x:c>
      <x:c r="V639" s="33" t="str">
        <x:v>https://www.openstreetmap.org/node/12231302797</x:v>
      </x:c>
      <x:c r="W639" s="33" t="str">
        <x:v>node/12231302797</x:v>
      </x:c>
      <x:c r="X639" s="33" t="str">
        <x:v>review_required</x:v>
      </x:c>
      <x:c r="Y639" s="33" t="str">
        <x:v>gs la diversite|conakry a verifier</x:v>
      </x:c>
      <x:c r="Z639" s="33" t="str">
        <x:v>224620712002</x:v>
      </x:c>
      <x:c r="AA639" s="33" t="str"/>
    </x:row>
    <x:row r="640">
      <x:c r="A640" s="30" t="str">
        <x:v>À vérifier</x:v>
      </x:c>
      <x:c r="B640" s="30" t="str"/>
      <x:c r="C640" s="31"/>
      <x:c r="D640" s="30" t="str">
        <x:v>Non vérifié</x:v>
      </x:c>
      <x:c r="E640" s="30" t="str"/>
      <x:c r="F640" s="30" t="str"/>
      <x:c r="G640" s="32" t="str"/>
      <x:c r="H640" s="33" t="str">
        <x:f>IF(I640&lt;&gt;"","Doublon possible","")</x:f>
      </x:c>
      <x:c r="I640" s="33" t="str">
        <x:f>IF(COUNTIFS($Y$9:$Y$678,Y640)&gt;1,"Nom + ville",IF(AND(Z640&lt;&gt;"",COUNTIFS($Z$9:$Z$678,Z640)&gt;1),"Téléphone",IF(AND(AA640&lt;&gt;"",COUNTIFS($AA$9:$AA$678,AA640)&gt;1),"Site web","")))</x:f>
      </x:c>
      <x:c r="J640" s="33" t="str">
        <x:v>GS la Haute Marée</x:v>
      </x:c>
      <x:c r="K640" s="33" t="str">
        <x:v>Éducation</x:v>
      </x:c>
      <x:c r="L640" s="33" t="str">
        <x:v>Écoles</x:v>
      </x:c>
      <x:c r="M640" s="33" t="str">
        <x:v>Conakry (à vérifier)</x:v>
      </x:c>
      <x:c r="N640" s="33" t="str"/>
      <x:c r="O640" s="33" t="str"/>
      <x:c r="P640" s="33" t="str">
        <x:v>+224666866306</x:v>
      </x:c>
      <x:c r="Q640" s="33" t="str"/>
      <x:c r="R640" s="33" t="str"/>
      <x:c r="S640" s="33" t="str"/>
      <x:c r="T640" s="35" t="n">
        <x:v>9.5406505</x:v>
      </x:c>
      <x:c r="U640" s="35" t="n">
        <x:v>-13.6634512</x:v>
      </x:c>
      <x:c r="V640" s="33" t="str">
        <x:v>https://www.openstreetmap.org/node/5922246746</x:v>
      </x:c>
      <x:c r="W640" s="33" t="str">
        <x:v>node/5922246746</x:v>
      </x:c>
      <x:c r="X640" s="33" t="str">
        <x:v>review_required</x:v>
      </x:c>
      <x:c r="Y640" s="33" t="str">
        <x:v>gs la haute maree|conakry a verifier</x:v>
      </x:c>
      <x:c r="Z640" s="33" t="str">
        <x:v>224666866306</x:v>
      </x:c>
      <x:c r="AA640" s="33" t="str"/>
    </x:row>
    <x:row r="641">
      <x:c r="A641" s="30" t="str">
        <x:v>À vérifier</x:v>
      </x:c>
      <x:c r="B641" s="30" t="str"/>
      <x:c r="C641" s="31"/>
      <x:c r="D641" s="30" t="str">
        <x:v>Non vérifié</x:v>
      </x:c>
      <x:c r="E641" s="30" t="str"/>
      <x:c r="F641" s="30" t="str"/>
      <x:c r="G641" s="32" t="str"/>
      <x:c r="H641" s="33" t="str">
        <x:f>IF(I641&lt;&gt;"","Doublon possible","")</x:f>
      </x:c>
      <x:c r="I641" s="33" t="str">
        <x:f>IF(COUNTIFS($Y$9:$Y$678,Y641)&gt;1,"Nom + ville",IF(AND(Z641&lt;&gt;"",COUNTIFS($Z$9:$Z$678,Z641)&gt;1),"Téléphone",IF(AND(AA641&lt;&gt;"",COUNTIFS($AA$9:$AA$678,AA641)&gt;1),"Site web","")))</x:f>
      </x:c>
      <x:c r="J641" s="33" t="str">
        <x:v>GS Marie Jeanne</x:v>
      </x:c>
      <x:c r="K641" s="33" t="str">
        <x:v>Éducation</x:v>
      </x:c>
      <x:c r="L641" s="33" t="str">
        <x:v>Écoles</x:v>
      </x:c>
      <x:c r="M641" s="33" t="str">
        <x:v>Conakry (à vérifier)</x:v>
      </x:c>
      <x:c r="N641" s="33" t="str"/>
      <x:c r="O641" s="33" t="str"/>
      <x:c r="P641" s="33" t="str">
        <x:v>654418437</x:v>
      </x:c>
      <x:c r="Q641" s="33" t="str"/>
      <x:c r="R641" s="33" t="str"/>
      <x:c r="S641" s="33" t="str"/>
      <x:c r="T641" s="35" t="n">
        <x:v>9.6477072</x:v>
      </x:c>
      <x:c r="U641" s="35" t="n">
        <x:v>-13.6065644</x:v>
      </x:c>
      <x:c r="V641" s="33" t="str">
        <x:v>https://www.openstreetmap.org/node/11411751490</x:v>
      </x:c>
      <x:c r="W641" s="33" t="str">
        <x:v>node/11411751490</x:v>
      </x:c>
      <x:c r="X641" s="33" t="str">
        <x:v>review_required</x:v>
      </x:c>
      <x:c r="Y641" s="33" t="str">
        <x:v>gs marie jeanne|conakry a verifier</x:v>
      </x:c>
      <x:c r="Z641" s="33" t="str">
        <x:v>224654418437</x:v>
      </x:c>
      <x:c r="AA641" s="33" t="str"/>
    </x:row>
    <x:row r="642">
      <x:c r="A642" s="30" t="str">
        <x:v>À vérifier</x:v>
      </x:c>
      <x:c r="B642" s="30" t="str"/>
      <x:c r="C642" s="31"/>
      <x:c r="D642" s="30" t="str">
        <x:v>Non vérifié</x:v>
      </x:c>
      <x:c r="E642" s="30" t="str"/>
      <x:c r="F642" s="30" t="str"/>
      <x:c r="G642" s="32" t="str"/>
      <x:c r="H642" s="33" t="str">
        <x:f>IF(I642&lt;&gt;"","Doublon possible","")</x:f>
      </x:c>
      <x:c r="I642" s="33" t="str">
        <x:f>IF(COUNTIFS($Y$9:$Y$678,Y642)&gt;1,"Nom + ville",IF(AND(Z642&lt;&gt;"",COUNTIFS($Z$9:$Z$678,Z642)&gt;1),"Téléphone",IF(AND(AA642&lt;&gt;"",COUNTIFS($AA$9:$AA$678,AA642)&gt;1),"Site web","")))</x:f>
      </x:c>
      <x:c r="J642" s="33" t="str">
        <x:v>GS Marijanne Yansané (MaryAns)</x:v>
      </x:c>
      <x:c r="K642" s="33" t="str">
        <x:v>Éducation</x:v>
      </x:c>
      <x:c r="L642" s="33" t="str">
        <x:v>Écoles</x:v>
      </x:c>
      <x:c r="M642" s="33" t="str">
        <x:v>Conakry (à vérifier)</x:v>
      </x:c>
      <x:c r="N642" s="33" t="str"/>
      <x:c r="O642" s="33" t="str"/>
      <x:c r="P642" s="33" t="str">
        <x:v>623139065</x:v>
      </x:c>
      <x:c r="Q642" s="33" t="str"/>
      <x:c r="R642" s="33" t="str"/>
      <x:c r="S642" s="33" t="str"/>
      <x:c r="T642" s="35" t="n">
        <x:v>9.6492381</x:v>
      </x:c>
      <x:c r="U642" s="35" t="n">
        <x:v>-13.6101795</x:v>
      </x:c>
      <x:c r="V642" s="33" t="str">
        <x:v>https://www.openstreetmap.org/node/6943911262</x:v>
      </x:c>
      <x:c r="W642" s="33" t="str">
        <x:v>node/6943911262</x:v>
      </x:c>
      <x:c r="X642" s="33" t="str">
        <x:v>review_required</x:v>
      </x:c>
      <x:c r="Y642" s="33" t="str">
        <x:v>gs marijanne yansane maryans|conakry a verifier</x:v>
      </x:c>
      <x:c r="Z642" s="33" t="str">
        <x:v>224623139065</x:v>
      </x:c>
      <x:c r="AA642" s="33" t="str"/>
    </x:row>
    <x:row r="643">
      <x:c r="A643" s="30" t="str">
        <x:v>À vérifier</x:v>
      </x:c>
      <x:c r="B643" s="30" t="str"/>
      <x:c r="C643" s="31"/>
      <x:c r="D643" s="30" t="str">
        <x:v>Non vérifié</x:v>
      </x:c>
      <x:c r="E643" s="30" t="str"/>
      <x:c r="F643" s="30" t="str"/>
      <x:c r="G643" s="32" t="str"/>
      <x:c r="H643" s="33" t="str">
        <x:f>IF(I643&lt;&gt;"","Doublon possible","")</x:f>
      </x:c>
      <x:c r="I643" s="33" t="str">
        <x:f>IF(COUNTIFS($Y$9:$Y$678,Y643)&gt;1,"Nom + ville",IF(AND(Z643&lt;&gt;"",COUNTIFS($Z$9:$Z$678,Z643)&gt;1),"Téléphone",IF(AND(AA643&lt;&gt;"",COUNTIFS($AA$9:$AA$678,AA643)&gt;1),"Site web","")))</x:f>
      </x:c>
      <x:c r="J643" s="33" t="str">
        <x:v>GS Mission internationale la vie de dieu</x:v>
      </x:c>
      <x:c r="K643" s="33" t="str">
        <x:v>Éducation</x:v>
      </x:c>
      <x:c r="L643" s="33" t="str">
        <x:v>Écoles</x:v>
      </x:c>
      <x:c r="M643" s="33" t="str">
        <x:v>Conakry (à vérifier)</x:v>
      </x:c>
      <x:c r="N643" s="33" t="str"/>
      <x:c r="O643" s="33" t="str"/>
      <x:c r="P643" s="33" t="str">
        <x:v>+224664235943</x:v>
      </x:c>
      <x:c r="Q643" s="33" t="str"/>
      <x:c r="R643" s="33" t="str"/>
      <x:c r="S643" s="33" t="str"/>
      <x:c r="T643" s="35" t="n">
        <x:v>9.5675372</x:v>
      </x:c>
      <x:c r="U643" s="35" t="n">
        <x:v>-13.6509531</x:v>
      </x:c>
      <x:c r="V643" s="33" t="str">
        <x:v>https://www.openstreetmap.org/node/5970586855</x:v>
      </x:c>
      <x:c r="W643" s="33" t="str">
        <x:v>node/5970586855</x:v>
      </x:c>
      <x:c r="X643" s="33" t="str">
        <x:v>review_required</x:v>
      </x:c>
      <x:c r="Y643" s="33" t="str">
        <x:v>gs mission internationale la vie de dieu|conakry a verifier</x:v>
      </x:c>
      <x:c r="Z643" s="33" t="str">
        <x:v>224664235943</x:v>
      </x:c>
      <x:c r="AA643" s="33" t="str"/>
    </x:row>
    <x:row r="644">
      <x:c r="A644" s="30" t="str">
        <x:v>À vérifier</x:v>
      </x:c>
      <x:c r="B644" s="30" t="str"/>
      <x:c r="C644" s="31"/>
      <x:c r="D644" s="30" t="str">
        <x:v>Non vérifié</x:v>
      </x:c>
      <x:c r="E644" s="30" t="str"/>
      <x:c r="F644" s="30" t="str"/>
      <x:c r="G644" s="32" t="str"/>
      <x:c r="H644" s="33" t="str">
        <x:f>IF(I644&lt;&gt;"","Doublon possible","")</x:f>
        <x:v>Doublon possible</x:v>
      </x:c>
      <x:c r="I644" s="33" t="str">
        <x:f>IF(COUNTIFS($Y$9:$Y$678,Y644)&gt;1,"Nom + ville",IF(AND(Z644&lt;&gt;"",COUNTIFS($Z$9:$Z$678,Z644)&gt;1),"Téléphone",IF(AND(AA644&lt;&gt;"",COUNTIFS($AA$9:$AA$678,AA644)&gt;1),"Site web","")))</x:f>
        <x:v>Site web</x:v>
      </x:c>
      <x:c r="J644" s="33" t="str">
        <x:v>Gs nene aicha</x:v>
      </x:c>
      <x:c r="K644" s="33" t="str">
        <x:v>Éducation</x:v>
      </x:c>
      <x:c r="L644" s="33" t="str">
        <x:v>Écoles</x:v>
      </x:c>
      <x:c r="M644" s="33" t="str">
        <x:v>Conakry (à vérifier)</x:v>
      </x:c>
      <x:c r="N644" s="33" t="str"/>
      <x:c r="O644" s="33" t="str"/>
      <x:c r="P644" s="33" t="str">
        <x:v>622628699 /631316049</x:v>
      </x:c>
      <x:c r="Q644" s="33" t="str"/>
      <x:c r="R644" s="33" t="str">
        <x:v>gsna@yahoo.fr</x:v>
      </x:c>
      <x:c r="S644" s="33" t="str"/>
      <x:c r="T644" s="35" t="n">
        <x:v>9.6557008</x:v>
      </x:c>
      <x:c r="U644" s="35" t="n">
        <x:v>-13.5772455</x:v>
      </x:c>
      <x:c r="V644" s="33" t="str">
        <x:v>https://www.openstreetmap.org/node/6943276551</x:v>
      </x:c>
      <x:c r="W644" s="33" t="str">
        <x:v>node/6943276551</x:v>
      </x:c>
      <x:c r="X644" s="33" t="str">
        <x:v>review_required</x:v>
      </x:c>
      <x:c r="Y644" s="33" t="str">
        <x:v>gs nene aicha|conakry a verifier</x:v>
      </x:c>
      <x:c r="Z644" s="33" t="str">
        <x:v>622628699631316049</x:v>
      </x:c>
      <x:c r="AA644" s="33" t="str">
        <x:v>yahoo.fr</x:v>
      </x:c>
    </x:row>
    <x:row r="645">
      <x:c r="A645" s="30" t="str">
        <x:v>À vérifier</x:v>
      </x:c>
      <x:c r="B645" s="30" t="str"/>
      <x:c r="C645" s="31"/>
      <x:c r="D645" s="30" t="str">
        <x:v>Non vérifié</x:v>
      </x:c>
      <x:c r="E645" s="30" t="str"/>
      <x:c r="F645" s="30" t="str"/>
      <x:c r="G645" s="32" t="str"/>
      <x:c r="H645" s="33" t="str">
        <x:f>IF(I645&lt;&gt;"","Doublon possible","")</x:f>
      </x:c>
      <x:c r="I645" s="33" t="str">
        <x:f>IF(COUNTIFS($Y$9:$Y$678,Y645)&gt;1,"Nom + ville",IF(AND(Z645&lt;&gt;"",COUNTIFS($Z$9:$Z$678,Z645)&gt;1),"Téléphone",IF(AND(AA645&lt;&gt;"",COUNTIFS($AA$9:$AA$678,AA645)&gt;1),"Site web","")))</x:f>
      </x:c>
      <x:c r="J645" s="33" t="str">
        <x:v>GS Phénix international</x:v>
      </x:c>
      <x:c r="K645" s="33" t="str">
        <x:v>Éducation</x:v>
      </x:c>
      <x:c r="L645" s="33" t="str">
        <x:v>Écoles</x:v>
      </x:c>
      <x:c r="M645" s="33" t="str">
        <x:v>Conakry (à vérifier)</x:v>
      </x:c>
      <x:c r="N645" s="33" t="str"/>
      <x:c r="O645" s="33" t="str"/>
      <x:c r="P645" s="33" t="str">
        <x:v>+224628614246</x:v>
      </x:c>
      <x:c r="Q645" s="33" t="str"/>
      <x:c r="R645" s="33" t="str"/>
      <x:c r="S645" s="33" t="str"/>
      <x:c r="T645" s="35" t="n">
        <x:v>9.6768892</x:v>
      </x:c>
      <x:c r="U645" s="35" t="n">
        <x:v>-13.5557134</x:v>
      </x:c>
      <x:c r="V645" s="33" t="str">
        <x:v>https://www.openstreetmap.org/way/548726974</x:v>
      </x:c>
      <x:c r="W645" s="33" t="str">
        <x:v>way/548726974</x:v>
      </x:c>
      <x:c r="X645" s="33" t="str">
        <x:v>review_required</x:v>
      </x:c>
      <x:c r="Y645" s="33" t="str">
        <x:v>gs phenix international|conakry a verifier</x:v>
      </x:c>
      <x:c r="Z645" s="33" t="str">
        <x:v>224628614246</x:v>
      </x:c>
      <x:c r="AA645" s="33" t="str"/>
    </x:row>
    <x:row r="646">
      <x:c r="A646" s="30" t="str">
        <x:v>À vérifier</x:v>
      </x:c>
      <x:c r="B646" s="30" t="str"/>
      <x:c r="C646" s="31"/>
      <x:c r="D646" s="30" t="str">
        <x:v>Non vérifié</x:v>
      </x:c>
      <x:c r="E646" s="30" t="str"/>
      <x:c r="F646" s="30" t="str"/>
      <x:c r="G646" s="32" t="str"/>
      <x:c r="H646" s="33" t="str">
        <x:f>IF(I646&lt;&gt;"","Doublon possible","")</x:f>
      </x:c>
      <x:c r="I646" s="33" t="str">
        <x:f>IF(COUNTIFS($Y$9:$Y$678,Y646)&gt;1,"Nom + ville",IF(AND(Z646&lt;&gt;"",COUNTIFS($Z$9:$Z$678,Z646)&gt;1),"Téléphone",IF(AND(AA646&lt;&gt;"",COUNTIFS($AA$9:$AA$678,AA646)&gt;1),"Site web","")))</x:f>
      </x:c>
      <x:c r="J646" s="33" t="str">
        <x:v>Gs Thierno Mo Tounka</x:v>
      </x:c>
      <x:c r="K646" s="33" t="str">
        <x:v>Éducation</x:v>
      </x:c>
      <x:c r="L646" s="33" t="str">
        <x:v>Écoles</x:v>
      </x:c>
      <x:c r="M646" s="33" t="str">
        <x:v>Conakry (à vérifier)</x:v>
      </x:c>
      <x:c r="N646" s="33" t="str"/>
      <x:c r="O646" s="33" t="str"/>
      <x:c r="P646" s="33" t="str">
        <x:v>628851127 / 622219859</x:v>
      </x:c>
      <x:c r="Q646" s="33" t="str"/>
      <x:c r="R646" s="33" t="str"/>
      <x:c r="S646" s="33" t="str"/>
      <x:c r="T646" s="35" t="n">
        <x:v>9.6717985</x:v>
      </x:c>
      <x:c r="U646" s="35" t="n">
        <x:v>-13.5769718</x:v>
      </x:c>
      <x:c r="V646" s="33" t="str">
        <x:v>https://www.openstreetmap.org/node/6900025770</x:v>
      </x:c>
      <x:c r="W646" s="33" t="str">
        <x:v>node/6900025770</x:v>
      </x:c>
      <x:c r="X646" s="33" t="str">
        <x:v>review_required</x:v>
      </x:c>
      <x:c r="Y646" s="33" t="str">
        <x:v>gs thierno mo tounka|conakry a verifier</x:v>
      </x:c>
      <x:c r="Z646" s="33" t="str">
        <x:v>628851127622219859</x:v>
      </x:c>
      <x:c r="AA646" s="33" t="str"/>
    </x:row>
    <x:row r="647">
      <x:c r="A647" s="30" t="str">
        <x:v>À vérifier</x:v>
      </x:c>
      <x:c r="B647" s="30" t="str"/>
      <x:c r="C647" s="31"/>
      <x:c r="D647" s="30" t="str">
        <x:v>Non vérifié</x:v>
      </x:c>
      <x:c r="E647" s="30" t="str"/>
      <x:c r="F647" s="30" t="str"/>
      <x:c r="G647" s="32" t="str"/>
      <x:c r="H647" s="33" t="str">
        <x:f>IF(I647&lt;&gt;"","Doublon possible","")</x:f>
        <x:v>Doublon possible</x:v>
      </x:c>
      <x:c r="I647" s="33" t="str">
        <x:f>IF(COUNTIFS($Y$9:$Y$678,Y647)&gt;1,"Nom + ville",IF(AND(Z647&lt;&gt;"",COUNTIFS($Z$9:$Z$678,Z647)&gt;1),"Téléphone",IF(AND(AA647&lt;&gt;"",COUNTIFS($AA$9:$AA$678,AA647)&gt;1),"Site web","")))</x:f>
        <x:v>Site web</x:v>
      </x:c>
      <x:c r="J647" s="33" t="str">
        <x:v>Guinean Institute of Professionnel Studes</x:v>
      </x:c>
      <x:c r="K647" s="33" t="str">
        <x:v>Éducation</x:v>
      </x:c>
      <x:c r="L647" s="33" t="str">
        <x:v>Universités</x:v>
      </x:c>
      <x:c r="M647" s="33" t="str">
        <x:v>Conakry (à vérifier)</x:v>
      </x:c>
      <x:c r="N647" s="33" t="str"/>
      <x:c r="O647" s="33" t="str"/>
      <x:c r="P647" s="33" t="str">
        <x:v>628187789 / 666750236</x:v>
      </x:c>
      <x:c r="Q647" s="33" t="str"/>
      <x:c r="R647" s="33" t="str">
        <x:v>gipsguinee@gmail.com</x:v>
      </x:c>
      <x:c r="S647" s="33" t="str"/>
      <x:c r="T647" s="35" t="n">
        <x:v>9.6097859</x:v>
      </x:c>
      <x:c r="U647" s="35" t="n">
        <x:v>-13.5968704</x:v>
      </x:c>
      <x:c r="V647" s="33" t="str">
        <x:v>https://www.openstreetmap.org/node/6918621109</x:v>
      </x:c>
      <x:c r="W647" s="33" t="str">
        <x:v>node/6918621109</x:v>
      </x:c>
      <x:c r="X647" s="33" t="str">
        <x:v>review_required</x:v>
      </x:c>
      <x:c r="Y647" s="33" t="str">
        <x:v>guinean institute of professionnel studes|conakry a verifier</x:v>
      </x:c>
      <x:c r="Z647" s="33" t="str">
        <x:v>628187789666750236</x:v>
      </x:c>
      <x:c r="AA647" s="33" t="str">
        <x:v>gmail.com</x:v>
      </x:c>
    </x:row>
    <x:row r="648">
      <x:c r="A648" s="30" t="str">
        <x:v>À vérifier</x:v>
      </x:c>
      <x:c r="B648" s="30" t="str"/>
      <x:c r="C648" s="31"/>
      <x:c r="D648" s="30" t="str">
        <x:v>Non vérifié</x:v>
      </x:c>
      <x:c r="E648" s="30" t="str"/>
      <x:c r="F648" s="30" t="str"/>
      <x:c r="G648" s="32" t="str"/>
      <x:c r="H648" s="33" t="str">
        <x:f>IF(I648&lt;&gt;"","Doublon possible","")</x:f>
      </x:c>
      <x:c r="I648" s="33" t="str">
        <x:f>IF(COUNTIFS($Y$9:$Y$678,Y648)&gt;1,"Nom + ville",IF(AND(Z648&lt;&gt;"",COUNTIFS($Z$9:$Z$678,Z648)&gt;1),"Téléphone",IF(AND(AA648&lt;&gt;"",COUNTIFS($AA$9:$AA$678,AA648)&gt;1),"Site web","")))</x:f>
      </x:c>
      <x:c r="J648" s="33" t="str">
        <x:v>Hadja Safourata Bah</x:v>
      </x:c>
      <x:c r="K648" s="33" t="str">
        <x:v>Éducation</x:v>
      </x:c>
      <x:c r="L648" s="33" t="str">
        <x:v>Écoles</x:v>
      </x:c>
      <x:c r="M648" s="33" t="str">
        <x:v>Conakry (à vérifier)</x:v>
      </x:c>
      <x:c r="N648" s="33" t="str"/>
      <x:c r="O648" s="33" t="str"/>
      <x:c r="P648" s="33" t="str">
        <x:v>+224629321010</x:v>
      </x:c>
      <x:c r="Q648" s="33" t="str">
        <x:v>groupescolaire.hsb@gmail.com</x:v>
      </x:c>
      <x:c r="R648" s="33" t="str"/>
      <x:c r="S648" s="33" t="str"/>
      <x:c r="T648" s="35" t="n">
        <x:v>9.6779764</x:v>
      </x:c>
      <x:c r="U648" s="35" t="n">
        <x:v>-13.5496806</x:v>
      </x:c>
      <x:c r="V648" s="33" t="str">
        <x:v>https://www.openstreetmap.org/node/6027921360</x:v>
      </x:c>
      <x:c r="W648" s="33" t="str">
        <x:v>node/6027921360</x:v>
      </x:c>
      <x:c r="X648" s="33" t="str">
        <x:v>review_required</x:v>
      </x:c>
      <x:c r="Y648" s="33" t="str">
        <x:v>hadja safourata bah|conakry a verifier</x:v>
      </x:c>
      <x:c r="Z648" s="33" t="str">
        <x:v>224629321010</x:v>
      </x:c>
      <x:c r="AA648" s="33" t="str"/>
    </x:row>
    <x:row r="649">
      <x:c r="A649" s="30" t="str">
        <x:v>À vérifier</x:v>
      </x:c>
      <x:c r="B649" s="30" t="str"/>
      <x:c r="C649" s="31"/>
      <x:c r="D649" s="30" t="str">
        <x:v>Non vérifié</x:v>
      </x:c>
      <x:c r="E649" s="30" t="str"/>
      <x:c r="F649" s="30" t="str"/>
      <x:c r="G649" s="32" t="str"/>
      <x:c r="H649" s="33" t="str">
        <x:f>IF(I649&lt;&gt;"","Doublon possible","")</x:f>
        <x:v>Doublon possible</x:v>
      </x:c>
      <x:c r="I649" s="33" t="str">
        <x:f>IF(COUNTIFS($Y$9:$Y$678,Y649)&gt;1,"Nom + ville",IF(AND(Z649&lt;&gt;"",COUNTIFS($Z$9:$Z$678,Z649)&gt;1),"Téléphone",IF(AND(AA649&lt;&gt;"",COUNTIFS($AA$9:$AA$678,AA649)&gt;1),"Site web","")))</x:f>
        <x:v>Site web</x:v>
      </x:c>
      <x:c r="J649" s="33" t="str">
        <x:v>Institut APEX Amadou SIDIBE</x:v>
      </x:c>
      <x:c r="K649" s="33" t="str">
        <x:v>Éducation</x:v>
      </x:c>
      <x:c r="L649" s="33" t="str">
        <x:v>Universités</x:v>
      </x:c>
      <x:c r="M649" s="33" t="str">
        <x:v>Conakry (à vérifier)</x:v>
      </x:c>
      <x:c r="N649" s="33" t="str"/>
      <x:c r="O649" s="33" t="str"/>
      <x:c r="P649" s="33" t="str">
        <x:v>621834470 / 66649748</x:v>
      </x:c>
      <x:c r="Q649" s="33" t="str"/>
      <x:c r="R649" s="33" t="str">
        <x:v>gsmsidibe@yahoo.fr</x:v>
      </x:c>
      <x:c r="S649" s="33" t="str"/>
      <x:c r="T649" s="35" t="n">
        <x:v>9.6507311</x:v>
      </x:c>
      <x:c r="U649" s="35" t="n">
        <x:v>-13.5457413</x:v>
      </x:c>
      <x:c r="V649" s="33" t="str">
        <x:v>https://www.openstreetmap.org/node/5511948496</x:v>
      </x:c>
      <x:c r="W649" s="33" t="str">
        <x:v>node/5511948496</x:v>
      </x:c>
      <x:c r="X649" s="33" t="str">
        <x:v>review_required</x:v>
      </x:c>
      <x:c r="Y649" s="33" t="str">
        <x:v>institut apex amadou sidibe|conakry a verifier</x:v>
      </x:c>
      <x:c r="Z649" s="33" t="str">
        <x:v>62183447066649748</x:v>
      </x:c>
      <x:c r="AA649" s="33" t="str">
        <x:v>yahoo.fr</x:v>
      </x:c>
    </x:row>
    <x:row r="650">
      <x:c r="A650" s="30" t="str">
        <x:v>À vérifier</x:v>
      </x:c>
      <x:c r="B650" s="30" t="str"/>
      <x:c r="C650" s="31"/>
      <x:c r="D650" s="30" t="str">
        <x:v>Non vérifié</x:v>
      </x:c>
      <x:c r="E650" s="30" t="str"/>
      <x:c r="F650" s="30" t="str"/>
      <x:c r="G650" s="32" t="str"/>
      <x:c r="H650" s="33" t="str">
        <x:f>IF(I650&lt;&gt;"","Doublon possible","")</x:f>
      </x:c>
      <x:c r="I650" s="33" t="str">
        <x:f>IF(COUNTIFS($Y$9:$Y$678,Y650)&gt;1,"Nom + ville",IF(AND(Z650&lt;&gt;"",COUNTIFS($Z$9:$Z$678,Z650)&gt;1),"Téléphone",IF(AND(AA650&lt;&gt;"",COUNTIFS($AA$9:$AA$678,AA650)&gt;1),"Site web","")))</x:f>
      </x:c>
      <x:c r="J650" s="33" t="str">
        <x:v>Institut de Formation de Personnel Paramédical de Guinée</x:v>
      </x:c>
      <x:c r="K650" s="33" t="str">
        <x:v>Éducation</x:v>
      </x:c>
      <x:c r="L650" s="33" t="str">
        <x:v>Universités</x:v>
      </x:c>
      <x:c r="M650" s="33" t="str">
        <x:v>Conakry (à vérifier)</x:v>
      </x:c>
      <x:c r="N650" s="33" t="str"/>
      <x:c r="O650" s="33" t="str"/>
      <x:c r="P650" s="33" t="str">
        <x:v>622328647 - 655981634</x:v>
      </x:c>
      <x:c r="Q650" s="33" t="str">
        <x:v>wannhamdallaye@gmail.com</x:v>
      </x:c>
      <x:c r="R650" s="33" t="str"/>
      <x:c r="S650" s="33" t="str"/>
      <x:c r="T650" s="35" t="n">
        <x:v>9.6534083</x:v>
      </x:c>
      <x:c r="U650" s="35" t="n">
        <x:v>-13.5300004</x:v>
      </x:c>
      <x:c r="V650" s="33" t="str">
        <x:v>https://www.openstreetmap.org/node/6918552470</x:v>
      </x:c>
      <x:c r="W650" s="33" t="str">
        <x:v>node/6918552470</x:v>
      </x:c>
      <x:c r="X650" s="33" t="str">
        <x:v>review_required</x:v>
      </x:c>
      <x:c r="Y650" s="33" t="str">
        <x:v>institut de formation de personnel paramedical de guinee|conakry a verifier</x:v>
      </x:c>
      <x:c r="Z650" s="33" t="str">
        <x:v>622328647655981634</x:v>
      </x:c>
      <x:c r="AA650" s="33" t="str"/>
    </x:row>
    <x:row r="651">
      <x:c r="A651" s="30" t="str">
        <x:v>À vérifier</x:v>
      </x:c>
      <x:c r="B651" s="30" t="str"/>
      <x:c r="C651" s="31"/>
      <x:c r="D651" s="30" t="str">
        <x:v>Non vérifié</x:v>
      </x:c>
      <x:c r="E651" s="30" t="str"/>
      <x:c r="F651" s="30" t="str"/>
      <x:c r="G651" s="32" t="str"/>
      <x:c r="H651" s="33" t="str">
        <x:f>IF(I651&lt;&gt;"","Doublon possible","")</x:f>
      </x:c>
      <x:c r="I651" s="33" t="str">
        <x:f>IF(COUNTIFS($Y$9:$Y$678,Y651)&gt;1,"Nom + ville",IF(AND(Z651&lt;&gt;"",COUNTIFS($Z$9:$Z$678,Z651)&gt;1),"Téléphone",IF(AND(AA651&lt;&gt;"",COUNTIFS($AA$9:$AA$678,AA651)&gt;1),"Site web","")))</x:f>
      </x:c>
      <x:c r="J651" s="33" t="str">
        <x:v>Institut de formation et de perfectionnement en Santé</x:v>
      </x:c>
      <x:c r="K651" s="33" t="str">
        <x:v>Éducation</x:v>
      </x:c>
      <x:c r="L651" s="33" t="str">
        <x:v>Universités</x:v>
      </x:c>
      <x:c r="M651" s="33" t="str">
        <x:v>Conakry (à vérifier)</x:v>
      </x:c>
      <x:c r="N651" s="33" t="str"/>
      <x:c r="O651" s="33" t="str"/>
      <x:c r="P651" s="33" t="str">
        <x:v>+224621153405</x:v>
      </x:c>
      <x:c r="Q651" s="33" t="str">
        <x:v>ifpsguinee@gmail.com</x:v>
      </x:c>
      <x:c r="R651" s="33" t="str"/>
      <x:c r="S651" s="33" t="str"/>
      <x:c r="T651" s="35" t="n">
        <x:v>9.6330962</x:v>
      </x:c>
      <x:c r="U651" s="35" t="n">
        <x:v>-13.6129143</x:v>
      </x:c>
      <x:c r="V651" s="33" t="str">
        <x:v>https://www.openstreetmap.org/node/6044914999</x:v>
      </x:c>
      <x:c r="W651" s="33" t="str">
        <x:v>node/6044914999</x:v>
      </x:c>
      <x:c r="X651" s="33" t="str">
        <x:v>review_required</x:v>
      </x:c>
      <x:c r="Y651" s="33" t="str">
        <x:v>institut de formation et de perfectionnement en sante|conakry a verifier</x:v>
      </x:c>
      <x:c r="Z651" s="33" t="str">
        <x:v>224621153405</x:v>
      </x:c>
      <x:c r="AA651" s="33" t="str"/>
    </x:row>
    <x:row r="652">
      <x:c r="A652" s="30" t="str">
        <x:v>À vérifier</x:v>
      </x:c>
      <x:c r="B652" s="30" t="str"/>
      <x:c r="C652" s="31"/>
      <x:c r="D652" s="30" t="str">
        <x:v>Non vérifié</x:v>
      </x:c>
      <x:c r="E652" s="30" t="str"/>
      <x:c r="F652" s="30" t="str"/>
      <x:c r="G652" s="32" t="str"/>
      <x:c r="H652" s="33" t="str">
        <x:f>IF(I652&lt;&gt;"","Doublon possible","")</x:f>
      </x:c>
      <x:c r="I652" s="33" t="str">
        <x:f>IF(COUNTIFS($Y$9:$Y$678,Y652)&gt;1,"Nom + ville",IF(AND(Z652&lt;&gt;"",COUNTIFS($Z$9:$Z$678,Z652)&gt;1),"Téléphone",IF(AND(AA652&lt;&gt;"",COUNTIFS($AA$9:$AA$678,AA652)&gt;1),"Site web","")))</x:f>
      </x:c>
      <x:c r="J652" s="33" t="str">
        <x:v>Institut de formation technique et professionnelle Koumba Diawara</x:v>
      </x:c>
      <x:c r="K652" s="33" t="str">
        <x:v>Éducation</x:v>
      </x:c>
      <x:c r="L652" s="33" t="str">
        <x:v>Universités</x:v>
      </x:c>
      <x:c r="M652" s="33" t="str">
        <x:v>Conakry (à vérifier)</x:v>
      </x:c>
      <x:c r="N652" s="33" t="str"/>
      <x:c r="O652" s="33" t="str"/>
      <x:c r="P652" s="33" t="str">
        <x:v>628386355</x:v>
      </x:c>
      <x:c r="Q652" s="33" t="str"/>
      <x:c r="R652" s="33" t="str"/>
      <x:c r="S652" s="33" t="str"/>
      <x:c r="T652" s="35" t="n">
        <x:v>9.5788842</x:v>
      </x:c>
      <x:c r="U652" s="35" t="n">
        <x:v>-13.6197333</x:v>
      </x:c>
      <x:c r="V652" s="33" t="str">
        <x:v>https://www.openstreetmap.org/node/6918587250</x:v>
      </x:c>
      <x:c r="W652" s="33" t="str">
        <x:v>node/6918587250</x:v>
      </x:c>
      <x:c r="X652" s="33" t="str">
        <x:v>review_required</x:v>
      </x:c>
      <x:c r="Y652" s="33" t="str">
        <x:v>institut de formation technique et professionnelle koumba diawara|conakry a verifier</x:v>
      </x:c>
      <x:c r="Z652" s="33" t="str">
        <x:v>224628386355</x:v>
      </x:c>
      <x:c r="AA652" s="33" t="str"/>
    </x:row>
    <x:row r="653">
      <x:c r="A653" s="30" t="str">
        <x:v>À vérifier</x:v>
      </x:c>
      <x:c r="B653" s="30" t="str"/>
      <x:c r="C653" s="31"/>
      <x:c r="D653" s="30" t="str">
        <x:v>Non vérifié</x:v>
      </x:c>
      <x:c r="E653" s="30" t="str"/>
      <x:c r="F653" s="30" t="str"/>
      <x:c r="G653" s="32" t="str"/>
      <x:c r="H653" s="33" t="str">
        <x:f>IF(I653&lt;&gt;"","Doublon possible","")</x:f>
        <x:v>Doublon possible</x:v>
      </x:c>
      <x:c r="I653" s="33" t="str">
        <x:f>IF(COUNTIFS($Y$9:$Y$678,Y653)&gt;1,"Nom + ville",IF(AND(Z653&lt;&gt;"",COUNTIFS($Z$9:$Z$678,Z653)&gt;1),"Téléphone",IF(AND(AA653&lt;&gt;"",COUNTIFS($AA$9:$AA$678,AA653)&gt;1),"Site web","")))</x:f>
        <x:v>Site web</x:v>
      </x:c>
      <x:c r="J653" s="33" t="str">
        <x:v>Institut de formation Technologie et Professionnelle Roi Mohamed VI</x:v>
      </x:c>
      <x:c r="K653" s="33" t="str">
        <x:v>Éducation</x:v>
      </x:c>
      <x:c r="L653" s="33" t="str">
        <x:v>Universités</x:v>
      </x:c>
      <x:c r="M653" s="33" t="str">
        <x:v>Conakry (à vérifier)</x:v>
      </x:c>
      <x:c r="N653" s="33" t="str"/>
      <x:c r="O653" s="33" t="str"/>
      <x:c r="P653" s="33" t="str">
        <x:v>623811176 / 666541834</x:v>
      </x:c>
      <x:c r="Q653" s="33" t="str"/>
      <x:c r="R653" s="33" t="str">
        <x:v>iftprm6@gmail.com</x:v>
      </x:c>
      <x:c r="S653" s="33" t="str"/>
      <x:c r="T653" s="35" t="n">
        <x:v>9.6037729</x:v>
      </x:c>
      <x:c r="U653" s="35" t="n">
        <x:v>-13.6003049</x:v>
      </x:c>
      <x:c r="V653" s="33" t="str">
        <x:v>https://www.openstreetmap.org/node/5796995237</x:v>
      </x:c>
      <x:c r="W653" s="33" t="str">
        <x:v>node/5796995237</x:v>
      </x:c>
      <x:c r="X653" s="33" t="str">
        <x:v>review_required</x:v>
      </x:c>
      <x:c r="Y653" s="33" t="str">
        <x:v>institut de formation technologie et professionnelle roi mohamed vi|conakry a verifier</x:v>
      </x:c>
      <x:c r="Z653" s="33" t="str">
        <x:v>623811176666541834</x:v>
      </x:c>
      <x:c r="AA653" s="33" t="str">
        <x:v>gmail.com</x:v>
      </x:c>
    </x:row>
    <x:row r="654">
      <x:c r="A654" s="30" t="str">
        <x:v>À vérifier</x:v>
      </x:c>
      <x:c r="B654" s="30" t="str"/>
      <x:c r="C654" s="31"/>
      <x:c r="D654" s="30" t="str">
        <x:v>Non vérifié</x:v>
      </x:c>
      <x:c r="E654" s="30" t="str"/>
      <x:c r="F654" s="30" t="str"/>
      <x:c r="G654" s="32" t="str"/>
      <x:c r="H654" s="33" t="str">
        <x:f>IF(I654&lt;&gt;"","Doublon possible","")</x:f>
      </x:c>
      <x:c r="I654" s="33" t="str">
        <x:f>IF(COUNTIFS($Y$9:$Y$678,Y654)&gt;1,"Nom + ville",IF(AND(Z654&lt;&gt;"",COUNTIFS($Z$9:$Z$678,Z654)&gt;1),"Téléphone",IF(AND(AA654&lt;&gt;"",COUNTIFS($AA$9:$AA$678,AA654)&gt;1),"Site web","")))</x:f>
      </x:c>
      <x:c r="J654" s="33" t="str">
        <x:v>Institut Nako Diabaté</x:v>
      </x:c>
      <x:c r="K654" s="33" t="str">
        <x:v>Éducation</x:v>
      </x:c>
      <x:c r="L654" s="33" t="str">
        <x:v>Universités</x:v>
      </x:c>
      <x:c r="M654" s="33" t="str">
        <x:v>Conakry (à vérifier)</x:v>
      </x:c>
      <x:c r="N654" s="33" t="str"/>
      <x:c r="O654" s="33" t="str"/>
      <x:c r="P654" s="33" t="str">
        <x:v>623995474 / 621331057</x:v>
      </x:c>
      <x:c r="Q654" s="33" t="str"/>
      <x:c r="R654" s="33" t="str"/>
      <x:c r="S654" s="33" t="str"/>
      <x:c r="T654" s="35" t="n">
        <x:v>9.6217882</x:v>
      </x:c>
      <x:c r="U654" s="35" t="n">
        <x:v>-13.5824742</x:v>
      </x:c>
      <x:c r="V654" s="33" t="str">
        <x:v>https://www.openstreetmap.org/way/425099107</x:v>
      </x:c>
      <x:c r="W654" s="33" t="str">
        <x:v>way/425099107</x:v>
      </x:c>
      <x:c r="X654" s="33" t="str">
        <x:v>review_required</x:v>
      </x:c>
      <x:c r="Y654" s="33" t="str">
        <x:v>institut nako diabate|conakry a verifier</x:v>
      </x:c>
      <x:c r="Z654" s="33" t="str">
        <x:v>623995474621331057</x:v>
      </x:c>
      <x:c r="AA654" s="33" t="str"/>
    </x:row>
    <x:row r="655">
      <x:c r="A655" s="30" t="str">
        <x:v>À vérifier</x:v>
      </x:c>
      <x:c r="B655" s="30" t="str"/>
      <x:c r="C655" s="31"/>
      <x:c r="D655" s="30" t="str">
        <x:v>Non vérifié</x:v>
      </x:c>
      <x:c r="E655" s="30" t="str"/>
      <x:c r="F655" s="30" t="str"/>
      <x:c r="G655" s="32" t="str"/>
      <x:c r="H655" s="33" t="str">
        <x:f>IF(I655&lt;&gt;"","Doublon possible","")</x:f>
      </x:c>
      <x:c r="I655" s="33" t="str">
        <x:f>IF(COUNTIFS($Y$9:$Y$678,Y655)&gt;1,"Nom + ville",IF(AND(Z655&lt;&gt;"",COUNTIFS($Z$9:$Z$678,Z655)&gt;1),"Téléphone",IF(AND(AA655&lt;&gt;"",COUNTIFS($AA$9:$AA$678,AA655)&gt;1),"Site web","")))</x:f>
      </x:c>
      <x:c r="J655" s="33" t="str">
        <x:v>Institut Supérieur de Formation à Distance (ISFAD)</x:v>
      </x:c>
      <x:c r="K655" s="33" t="str">
        <x:v>Éducation</x:v>
      </x:c>
      <x:c r="L655" s="33" t="str">
        <x:v>Universités</x:v>
      </x:c>
      <x:c r="M655" s="33" t="str">
        <x:v>Conakry (à vérifier)</x:v>
      </x:c>
      <x:c r="N655" s="33" t="str"/>
      <x:c r="O655" s="33" t="str">
        <x:v>Transversale 2</x:v>
      </x:c>
      <x:c r="P655" s="33" t="str">
        <x:v>00224669557809/622571183</x:v>
      </x:c>
      <x:c r="Q655" s="33" t="str">
        <x:v>info@isfad-gn.org</x:v>
      </x:c>
      <x:c r="R655" s="33" t="str">
        <x:v>https://www.isfad-gn.org/</x:v>
      </x:c>
      <x:c r="S655" s="33" t="str"/>
      <x:c r="T655" s="35" t="n">
        <x:v>9.6030598</x:v>
      </x:c>
      <x:c r="U655" s="35" t="n">
        <x:v>-13.6408953</x:v>
      </x:c>
      <x:c r="V655" s="33" t="str">
        <x:v>https://www.openstreetmap.org/node/5689022211</x:v>
      </x:c>
      <x:c r="W655" s="33" t="str">
        <x:v>node/5689022211</x:v>
      </x:c>
      <x:c r="X655" s="33" t="str">
        <x:v>review_required</x:v>
      </x:c>
      <x:c r="Y655" s="33" t="str">
        <x:v>institut superieur de formation a distance isfad|conakry a verifier</x:v>
      </x:c>
      <x:c r="Z655" s="33" t="str">
        <x:v>224669557809622571183</x:v>
      </x:c>
      <x:c r="AA655" s="33" t="str">
        <x:v>isfad-gn.org</x:v>
      </x:c>
    </x:row>
    <x:row r="656">
      <x:c r="A656" s="30" t="str">
        <x:v>À vérifier</x:v>
      </x:c>
      <x:c r="B656" s="30" t="str"/>
      <x:c r="C656" s="31"/>
      <x:c r="D656" s="30" t="str">
        <x:v>Non vérifié</x:v>
      </x:c>
      <x:c r="E656" s="30" t="str"/>
      <x:c r="F656" s="30" t="str"/>
      <x:c r="G656" s="32" t="str"/>
      <x:c r="H656" s="33" t="str">
        <x:f>IF(I656&lt;&gt;"","Doublon possible","")</x:f>
      </x:c>
      <x:c r="I656" s="33" t="str">
        <x:f>IF(COUNTIFS($Y$9:$Y$678,Y656)&gt;1,"Nom + ville",IF(AND(Z656&lt;&gt;"",COUNTIFS($Z$9:$Z$678,Z656)&gt;1),"Téléphone",IF(AND(AA656&lt;&gt;"",COUNTIFS($AA$9:$AA$678,AA656)&gt;1),"Site web","")))</x:f>
      </x:c>
      <x:c r="J656" s="33" t="str">
        <x:v>Institut Supérieur des Sciences de l'Education de Guinée (ISSEG)</x:v>
      </x:c>
      <x:c r="K656" s="33" t="str">
        <x:v>Éducation</x:v>
      </x:c>
      <x:c r="L656" s="33" t="str">
        <x:v>Universités</x:v>
      </x:c>
      <x:c r="M656" s="33" t="str">
        <x:v>Conakry</x:v>
      </x:c>
      <x:c r="N656" s="33" t="str">
        <x:v>Lambanyi</x:v>
      </x:c>
      <x:c r="O656" s="33" t="str">
        <x:v>Lambanyi</x:v>
      </x:c>
      <x:c r="P656" s="33" t="str">
        <x:v>+224628003139</x:v>
      </x:c>
      <x:c r="Q656" s="33" t="str">
        <x:v>info@isseg-gn.org</x:v>
      </x:c>
      <x:c r="R656" s="33" t="str">
        <x:v>www.isseg-gn.org</x:v>
      </x:c>
      <x:c r="S656" s="33" t="str"/>
      <x:c r="T656" s="35" t="n">
        <x:v>9.6442466</x:v>
      </x:c>
      <x:c r="U656" s="35" t="n">
        <x:v>-13.605292</x:v>
      </x:c>
      <x:c r="V656" s="33" t="str">
        <x:v>https://www.openstreetmap.org/way/592214067</x:v>
      </x:c>
      <x:c r="W656" s="33" t="str">
        <x:v>way/592214067</x:v>
      </x:c>
      <x:c r="X656" s="33" t="str">
        <x:v>review_required</x:v>
      </x:c>
      <x:c r="Y656" s="33" t="str">
        <x:v>institut superieur des sciences de l education de guinee isseg|conakry</x:v>
      </x:c>
      <x:c r="Z656" s="33" t="str">
        <x:v>224628003139</x:v>
      </x:c>
      <x:c r="AA656" s="33" t="str">
        <x:v>isseg-gn.org</x:v>
      </x:c>
    </x:row>
    <x:row r="657">
      <x:c r="A657" s="30" t="str">
        <x:v>À vérifier</x:v>
      </x:c>
      <x:c r="B657" s="30" t="str"/>
      <x:c r="C657" s="31"/>
      <x:c r="D657" s="30" t="str">
        <x:v>Non vérifié</x:v>
      </x:c>
      <x:c r="E657" s="30" t="str"/>
      <x:c r="F657" s="30" t="str"/>
      <x:c r="G657" s="32" t="str"/>
      <x:c r="H657" s="33" t="str">
        <x:f>IF(I657&lt;&gt;"","Doublon possible","")</x:f>
      </x:c>
      <x:c r="I657" s="33" t="str">
        <x:f>IF(COUNTIFS($Y$9:$Y$678,Y657)&gt;1,"Nom + ville",IF(AND(Z657&lt;&gt;"",COUNTIFS($Z$9:$Z$678,Z657)&gt;1),"Téléphone",IF(AND(AA657&lt;&gt;"",COUNTIFS($AA$9:$AA$678,AA657)&gt;1),"Site web","")))</x:f>
      </x:c>
      <x:c r="J657" s="33" t="str">
        <x:v>Ismael balde</x:v>
      </x:c>
      <x:c r="K657" s="33" t="str">
        <x:v>Éducation</x:v>
      </x:c>
      <x:c r="L657" s="33" t="str">
        <x:v>Écoles</x:v>
      </x:c>
      <x:c r="M657" s="33" t="str">
        <x:v>Conakry (à vérifier)</x:v>
      </x:c>
      <x:c r="N657" s="33" t="str"/>
      <x:c r="O657" s="33" t="str"/>
      <x:c r="P657" s="33" t="str">
        <x:v>625283467</x:v>
      </x:c>
      <x:c r="Q657" s="33" t="str"/>
      <x:c r="R657" s="33" t="str"/>
      <x:c r="S657" s="33" t="str"/>
      <x:c r="T657" s="35" t="n">
        <x:v>9.7089353</x:v>
      </x:c>
      <x:c r="U657" s="35" t="n">
        <x:v>-13.5095768</x:v>
      </x:c>
      <x:c r="V657" s="33" t="str">
        <x:v>https://www.openstreetmap.org/node/7211438757</x:v>
      </x:c>
      <x:c r="W657" s="33" t="str">
        <x:v>node/7211438757</x:v>
      </x:c>
      <x:c r="X657" s="33" t="str">
        <x:v>review_required</x:v>
      </x:c>
      <x:c r="Y657" s="33" t="str">
        <x:v>ismael balde|conakry a verifier</x:v>
      </x:c>
      <x:c r="Z657" s="33" t="str">
        <x:v>224625283467</x:v>
      </x:c>
      <x:c r="AA657" s="33" t="str"/>
    </x:row>
    <x:row r="658">
      <x:c r="A658" s="30" t="str">
        <x:v>À vérifier</x:v>
      </x:c>
      <x:c r="B658" s="30" t="str"/>
      <x:c r="C658" s="31"/>
      <x:c r="D658" s="30" t="str">
        <x:v>Non vérifié</x:v>
      </x:c>
      <x:c r="E658" s="30" t="str"/>
      <x:c r="F658" s="30" t="str"/>
      <x:c r="G658" s="32" t="str"/>
      <x:c r="H658" s="33" t="str">
        <x:f>IF(I658&lt;&gt;"","Doublon possible","")</x:f>
      </x:c>
      <x:c r="I658" s="33" t="str">
        <x:f>IF(COUNTIFS($Y$9:$Y$678,Y658)&gt;1,"Nom + ville",IF(AND(Z658&lt;&gt;"",COUNTIFS($Z$9:$Z$678,Z658)&gt;1),"Téléphone",IF(AND(AA658&lt;&gt;"",COUNTIFS($AA$9:$AA$678,AA658)&gt;1),"Site web","")))</x:f>
      </x:c>
      <x:c r="J658" s="33" t="str">
        <x:v>Jubilée International school</x:v>
      </x:c>
      <x:c r="K658" s="33" t="str">
        <x:v>Éducation</x:v>
      </x:c>
      <x:c r="L658" s="33" t="str">
        <x:v>Écoles</x:v>
      </x:c>
      <x:c r="M658" s="33" t="str">
        <x:v>Conakry (à vérifier)</x:v>
      </x:c>
      <x:c r="N658" s="33" t="str"/>
      <x:c r="O658" s="33" t="str"/>
      <x:c r="P658" s="33" t="str">
        <x:v>+224664520518</x:v>
      </x:c>
      <x:c r="Q658" s="33" t="str"/>
      <x:c r="R658" s="33" t="str"/>
      <x:c r="S658" s="33" t="str"/>
      <x:c r="T658" s="35" t="n">
        <x:v>9.5663447</x:v>
      </x:c>
      <x:c r="U658" s="35" t="n">
        <x:v>-13.6547466</x:v>
      </x:c>
      <x:c r="V658" s="33" t="str">
        <x:v>https://www.openstreetmap.org/node/5977003993</x:v>
      </x:c>
      <x:c r="W658" s="33" t="str">
        <x:v>node/5977003993</x:v>
      </x:c>
      <x:c r="X658" s="33" t="str">
        <x:v>review_required</x:v>
      </x:c>
      <x:c r="Y658" s="33" t="str">
        <x:v>jubilee international school|conakry a verifier</x:v>
      </x:c>
      <x:c r="Z658" s="33" t="str">
        <x:v>224664520518</x:v>
      </x:c>
      <x:c r="AA658" s="33" t="str"/>
    </x:row>
    <x:row r="659">
      <x:c r="A659" s="30" t="str">
        <x:v>À vérifier</x:v>
      </x:c>
      <x:c r="B659" s="30" t="str"/>
      <x:c r="C659" s="31"/>
      <x:c r="D659" s="30" t="str">
        <x:v>Non vérifié</x:v>
      </x:c>
      <x:c r="E659" s="30" t="str"/>
      <x:c r="F659" s="30" t="str"/>
      <x:c r="G659" s="32" t="str"/>
      <x:c r="H659" s="33" t="str">
        <x:f>IF(I659&lt;&gt;"","Doublon possible","")</x:f>
      </x:c>
      <x:c r="I659" s="33" t="str">
        <x:f>IF(COUNTIFS($Y$9:$Y$678,Y659)&gt;1,"Nom + ville",IF(AND(Z659&lt;&gt;"",COUNTIFS($Z$9:$Z$678,Z659)&gt;1),"Téléphone",IF(AND(AA659&lt;&gt;"",COUNTIFS($AA$9:$AA$678,AA659)&gt;1),"Site web","")))</x:f>
      </x:c>
      <x:c r="J659" s="33" t="str">
        <x:v>Junior Secondary Scool</x:v>
      </x:c>
      <x:c r="K659" s="33" t="str">
        <x:v>Éducation</x:v>
      </x:c>
      <x:c r="L659" s="33" t="str">
        <x:v>Écoles</x:v>
      </x:c>
      <x:c r="M659" s="33" t="str">
        <x:v>Conakry (à vérifier)</x:v>
      </x:c>
      <x:c r="N659" s="33" t="str"/>
      <x:c r="O659" s="33" t="str"/>
      <x:c r="P659" s="33" t="str">
        <x:v>+224655862732</x:v>
      </x:c>
      <x:c r="Q659" s="33" t="str"/>
      <x:c r="R659" s="33" t="str"/>
      <x:c r="S659" s="33" t="str"/>
      <x:c r="T659" s="35" t="n">
        <x:v>9.6072154</x:v>
      </x:c>
      <x:c r="U659" s="35" t="n">
        <x:v>-13.6023661</x:v>
      </x:c>
      <x:c r="V659" s="33" t="str">
        <x:v>https://www.openstreetmap.org/node/5796995130</x:v>
      </x:c>
      <x:c r="W659" s="33" t="str">
        <x:v>node/5796995130</x:v>
      </x:c>
      <x:c r="X659" s="33" t="str">
        <x:v>review_required</x:v>
      </x:c>
      <x:c r="Y659" s="33" t="str">
        <x:v>junior secondary scool|conakry a verifier</x:v>
      </x:c>
      <x:c r="Z659" s="33" t="str">
        <x:v>224655862732</x:v>
      </x:c>
      <x:c r="AA659" s="33" t="str"/>
    </x:row>
    <x:row r="660">
      <x:c r="A660" s="30" t="str">
        <x:v>À vérifier</x:v>
      </x:c>
      <x:c r="B660" s="30" t="str"/>
      <x:c r="C660" s="31"/>
      <x:c r="D660" s="30" t="str">
        <x:v>Non vérifié</x:v>
      </x:c>
      <x:c r="E660" s="30" t="str"/>
      <x:c r="F660" s="30" t="str"/>
      <x:c r="G660" s="32" t="str"/>
      <x:c r="H660" s="33" t="str">
        <x:f>IF(I660&lt;&gt;"","Doublon possible","")</x:f>
      </x:c>
      <x:c r="I660" s="33" t="str">
        <x:f>IF(COUNTIFS($Y$9:$Y$678,Y660)&gt;1,"Nom + ville",IF(AND(Z660&lt;&gt;"",COUNTIFS($Z$9:$Z$678,Z660)&gt;1),"Téléphone",IF(AND(AA660&lt;&gt;"",COUNTIFS($AA$9:$AA$678,AA660)&gt;1),"Site web","")))</x:f>
      </x:c>
      <x:c r="J660" s="33" t="str">
        <x:v>La Marguerite</x:v>
      </x:c>
      <x:c r="K660" s="33" t="str">
        <x:v>Éducation</x:v>
      </x:c>
      <x:c r="L660" s="33" t="str">
        <x:v>Écoles</x:v>
      </x:c>
      <x:c r="M660" s="33" t="str">
        <x:v>Conakry (à vérifier)</x:v>
      </x:c>
      <x:c r="N660" s="33" t="str"/>
      <x:c r="O660" s="33" t="str"/>
      <x:c r="P660" s="33" t="str">
        <x:v>622188809</x:v>
      </x:c>
      <x:c r="Q660" s="33" t="str"/>
      <x:c r="R660" s="33" t="str"/>
      <x:c r="S660" s="33" t="str"/>
      <x:c r="T660" s="35" t="n">
        <x:v>9.5508351</x:v>
      </x:c>
      <x:c r="U660" s="35" t="n">
        <x:v>-13.6768652</x:v>
      </x:c>
      <x:c r="V660" s="33" t="str">
        <x:v>https://www.openstreetmap.org/node/5966566359</x:v>
      </x:c>
      <x:c r="W660" s="33" t="str">
        <x:v>node/5966566359</x:v>
      </x:c>
      <x:c r="X660" s="33" t="str">
        <x:v>review_required</x:v>
      </x:c>
      <x:c r="Y660" s="33" t="str">
        <x:v>la marguerite|conakry a verifier</x:v>
      </x:c>
      <x:c r="Z660" s="33" t="str">
        <x:v>224622188809</x:v>
      </x:c>
      <x:c r="AA660" s="33" t="str"/>
    </x:row>
    <x:row r="661">
      <x:c r="A661" s="30" t="str">
        <x:v>À vérifier</x:v>
      </x:c>
      <x:c r="B661" s="30" t="str"/>
      <x:c r="C661" s="31"/>
      <x:c r="D661" s="30" t="str">
        <x:v>Non vérifié</x:v>
      </x:c>
      <x:c r="E661" s="30" t="str"/>
      <x:c r="F661" s="30" t="str"/>
      <x:c r="G661" s="32" t="str"/>
      <x:c r="H661" s="33" t="str">
        <x:f>IF(I661&lt;&gt;"","Doublon possible","")</x:f>
      </x:c>
      <x:c r="I661" s="33" t="str">
        <x:f>IF(COUNTIFS($Y$9:$Y$678,Y661)&gt;1,"Nom + ville",IF(AND(Z661&lt;&gt;"",COUNTIFS($Z$9:$Z$678,Z661)&gt;1),"Téléphone",IF(AND(AA661&lt;&gt;"",COUNTIFS($AA$9:$AA$678,AA661)&gt;1),"Site web","")))</x:f>
      </x:c>
      <x:c r="J661" s="33" t="str">
        <x:v>La Merveille</x:v>
      </x:c>
      <x:c r="K661" s="33" t="str">
        <x:v>Éducation</x:v>
      </x:c>
      <x:c r="L661" s="33" t="str">
        <x:v>Écoles</x:v>
      </x:c>
      <x:c r="M661" s="33" t="str">
        <x:v>Conakry (à vérifier)</x:v>
      </x:c>
      <x:c r="N661" s="33" t="str"/>
      <x:c r="O661" s="33" t="str"/>
      <x:c r="P661" s="33" t="str">
        <x:v>620662961/660604008</x:v>
      </x:c>
      <x:c r="Q661" s="33" t="str"/>
      <x:c r="R661" s="33" t="str"/>
      <x:c r="S661" s="33" t="str"/>
      <x:c r="T661" s="35" t="n">
        <x:v>9.663512</x:v>
      </x:c>
      <x:c r="U661" s="35" t="n">
        <x:v>-13.5814576</x:v>
      </x:c>
      <x:c r="V661" s="33" t="str">
        <x:v>https://www.openstreetmap.org/node/8963064930</x:v>
      </x:c>
      <x:c r="W661" s="33" t="str">
        <x:v>node/8963064930</x:v>
      </x:c>
      <x:c r="X661" s="33" t="str">
        <x:v>review_required</x:v>
      </x:c>
      <x:c r="Y661" s="33" t="str">
        <x:v>la merveille|conakry a verifier</x:v>
      </x:c>
      <x:c r="Z661" s="33" t="str">
        <x:v>620662961660604008</x:v>
      </x:c>
      <x:c r="AA661" s="33" t="str"/>
    </x:row>
    <x:row r="662">
      <x:c r="A662" s="30" t="str">
        <x:v>À vérifier</x:v>
      </x:c>
      <x:c r="B662" s="30" t="str"/>
      <x:c r="C662" s="31"/>
      <x:c r="D662" s="30" t="str">
        <x:v>Non vérifié</x:v>
      </x:c>
      <x:c r="E662" s="30" t="str"/>
      <x:c r="F662" s="30" t="str"/>
      <x:c r="G662" s="32" t="str"/>
      <x:c r="H662" s="33" t="str">
        <x:f>IF(I662&lt;&gt;"","Doublon possible","")</x:f>
      </x:c>
      <x:c r="I662" s="33" t="str">
        <x:f>IF(COUNTIFS($Y$9:$Y$678,Y662)&gt;1,"Nom + ville",IF(AND(Z662&lt;&gt;"",COUNTIFS($Z$9:$Z$678,Z662)&gt;1),"Téléphone",IF(AND(AA662&lt;&gt;"",COUNTIFS($AA$9:$AA$678,AA662)&gt;1),"Site web","")))</x:f>
      </x:c>
      <x:c r="J662" s="33" t="str">
        <x:v>Les Écoles MAARIF Turco-Guinéennes</x:v>
      </x:c>
      <x:c r="K662" s="33" t="str">
        <x:v>Éducation</x:v>
      </x:c>
      <x:c r="L662" s="33" t="str">
        <x:v>Écoles</x:v>
      </x:c>
      <x:c r="M662" s="33" t="str">
        <x:v>Conakry (à vérifier)</x:v>
      </x:c>
      <x:c r="N662" s="33" t="str"/>
      <x:c r="O662" s="33" t="str"/>
      <x:c r="P662" s="33" t="str">
        <x:v>+224622790606</x:v>
      </x:c>
      <x:c r="Q662" s="33" t="str"/>
      <x:c r="R662" s="33" t="str"/>
      <x:c r="S662" s="33" t="str"/>
      <x:c r="T662" s="35" t="n">
        <x:v>9.5959022</x:v>
      </x:c>
      <x:c r="U662" s="35" t="n">
        <x:v>-13.6429617</x:v>
      </x:c>
      <x:c r="V662" s="33" t="str">
        <x:v>https://www.openstreetmap.org/node/6049816610</x:v>
      </x:c>
      <x:c r="W662" s="33" t="str">
        <x:v>node/6049816610</x:v>
      </x:c>
      <x:c r="X662" s="33" t="str">
        <x:v>review_required</x:v>
      </x:c>
      <x:c r="Y662" s="33" t="str">
        <x:v>les ecoles maarif turco guineennes|conakry a verifier</x:v>
      </x:c>
      <x:c r="Z662" s="33" t="str">
        <x:v>224622790606</x:v>
      </x:c>
      <x:c r="AA662" s="33" t="str"/>
    </x:row>
    <x:row r="663">
      <x:c r="A663" s="30" t="str">
        <x:v>À vérifier</x:v>
      </x:c>
      <x:c r="B663" s="30" t="str"/>
      <x:c r="C663" s="31"/>
      <x:c r="D663" s="30" t="str">
        <x:v>Non vérifié</x:v>
      </x:c>
      <x:c r="E663" s="30" t="str"/>
      <x:c r="F663" s="30" t="str"/>
      <x:c r="G663" s="32" t="str"/>
      <x:c r="H663" s="33" t="str">
        <x:f>IF(I663&lt;&gt;"","Doublon possible","")</x:f>
      </x:c>
      <x:c r="I663" s="33" t="str">
        <x:f>IF(COUNTIFS($Y$9:$Y$678,Y663)&gt;1,"Nom + ville",IF(AND(Z663&lt;&gt;"",COUNTIFS($Z$9:$Z$678,Z663)&gt;1),"Téléphone",IF(AND(AA663&lt;&gt;"",COUNTIFS($AA$9:$AA$678,AA663)&gt;1),"Site web","")))</x:f>
      </x:c>
      <x:c r="J663" s="33" t="str">
        <x:v>Les Écoles MAARIF Turco_GUINÉEN (maternelle</x:v>
      </x:c>
      <x:c r="K663" s="33" t="str">
        <x:v>Éducation</x:v>
      </x:c>
      <x:c r="L663" s="33" t="str">
        <x:v>Écoles</x:v>
      </x:c>
      <x:c r="M663" s="33" t="str">
        <x:v>Conakry (à vérifier)</x:v>
      </x:c>
      <x:c r="N663" s="33" t="str"/>
      <x:c r="O663" s="33" t="str"/>
      <x:c r="P663" s="33" t="str">
        <x:v>+224622790604</x:v>
      </x:c>
      <x:c r="Q663" s="33" t="str"/>
      <x:c r="R663" s="33" t="str"/>
      <x:c r="S663" s="33" t="str"/>
      <x:c r="T663" s="35" t="n">
        <x:v>9.6058178</x:v>
      </x:c>
      <x:c r="U663" s="35" t="n">
        <x:v>-13.6343101</x:v>
      </x:c>
      <x:c r="V663" s="33" t="str">
        <x:v>https://www.openstreetmap.org/node/6451799447</x:v>
      </x:c>
      <x:c r="W663" s="33" t="str">
        <x:v>node/6451799447</x:v>
      </x:c>
      <x:c r="X663" s="33" t="str">
        <x:v>review_required</x:v>
      </x:c>
      <x:c r="Y663" s="33" t="str">
        <x:v>les ecoles maarif turco guineen maternelle|conakry a verifier</x:v>
      </x:c>
      <x:c r="Z663" s="33" t="str">
        <x:v>224622790604</x:v>
      </x:c>
      <x:c r="AA663" s="33" t="str"/>
    </x:row>
    <x:row r="664">
      <x:c r="A664" s="30" t="str">
        <x:v>À vérifier</x:v>
      </x:c>
      <x:c r="B664" s="30" t="str"/>
      <x:c r="C664" s="31"/>
      <x:c r="D664" s="30" t="str">
        <x:v>Non vérifié</x:v>
      </x:c>
      <x:c r="E664" s="30" t="str"/>
      <x:c r="F664" s="30" t="str"/>
      <x:c r="G664" s="32" t="str"/>
      <x:c r="H664" s="33" t="str">
        <x:f>IF(I664&lt;&gt;"","Doublon possible","")</x:f>
      </x:c>
      <x:c r="I664" s="33" t="str">
        <x:f>IF(COUNTIFS($Y$9:$Y$678,Y664)&gt;1,"Nom + ville",IF(AND(Z664&lt;&gt;"",COUNTIFS($Z$9:$Z$678,Z664)&gt;1),"Téléphone",IF(AND(AA664&lt;&gt;"",COUNTIFS($AA$9:$AA$678,AA664)&gt;1),"Site web","")))</x:f>
      </x:c>
      <x:c r="J664" s="33" t="str">
        <x:v>Lycée Albert Camus</x:v>
      </x:c>
      <x:c r="K664" s="33" t="str">
        <x:v>Éducation</x:v>
      </x:c>
      <x:c r="L664" s="33" t="str">
        <x:v>Écoles</x:v>
      </x:c>
      <x:c r="M664" s="33" t="str">
        <x:v>Conakry</x:v>
      </x:c>
      <x:c r="N664" s="33" t="str"/>
      <x:c r="O664" s="33" t="str">
        <x:v>Kipé</x:v>
      </x:c>
      <x:c r="P664" s="33" t="str">
        <x:v>+224 631407663;+224 661410600</x:v>
      </x:c>
      <x:c r="Q664" s="33" t="str"/>
      <x:c r="R664" s="33" t="str">
        <x:v>https://lyceealbertcamus-conakry.net/</x:v>
      </x:c>
      <x:c r="S664" s="33" t="str"/>
      <x:c r="T664" s="35" t="n">
        <x:v>9.6088215</x:v>
      </x:c>
      <x:c r="U664" s="35" t="n">
        <x:v>-13.6470647</x:v>
      </x:c>
      <x:c r="V664" s="33" t="str">
        <x:v>https://www.openstreetmap.org/way/94837010</x:v>
      </x:c>
      <x:c r="W664" s="33" t="str">
        <x:v>way/94837010</x:v>
      </x:c>
      <x:c r="X664" s="33" t="str">
        <x:v>review_required</x:v>
      </x:c>
      <x:c r="Y664" s="33" t="str">
        <x:v>lycee albert camus|conakry</x:v>
      </x:c>
      <x:c r="Z664" s="33" t="str">
        <x:v>224631407663224661410600</x:v>
      </x:c>
      <x:c r="AA664" s="33" t="str">
        <x:v>lyceealbertcamus-conakry.net</x:v>
      </x:c>
    </x:row>
    <x:row r="665">
      <x:c r="A665" s="30" t="str">
        <x:v>À vérifier</x:v>
      </x:c>
      <x:c r="B665" s="30" t="str"/>
      <x:c r="C665" s="31"/>
      <x:c r="D665" s="30" t="str">
        <x:v>Non vérifié</x:v>
      </x:c>
      <x:c r="E665" s="30" t="str"/>
      <x:c r="F665" s="30" t="str"/>
      <x:c r="G665" s="32" t="str"/>
      <x:c r="H665" s="33" t="str">
        <x:f>IF(I665&lt;&gt;"","Doublon possible","")</x:f>
      </x:c>
      <x:c r="I665" s="33" t="str">
        <x:f>IF(COUNTIFS($Y$9:$Y$678,Y665)&gt;1,"Nom + ville",IF(AND(Z665&lt;&gt;"",COUNTIFS($Z$9:$Z$678,Z665)&gt;1),"Téléphone",IF(AND(AA665&lt;&gt;"",COUNTIFS($AA$9:$AA$678,AA665)&gt;1),"Site web","")))</x:f>
      </x:c>
      <x:c r="J665" s="33" t="str">
        <x:v>Sierra International School</x:v>
      </x:c>
      <x:c r="K665" s="33" t="str">
        <x:v>Éducation</x:v>
      </x:c>
      <x:c r="L665" s="33" t="str">
        <x:v>Écoles</x:v>
      </x:c>
      <x:c r="M665" s="33" t="str">
        <x:v>Conakry (à vérifier)</x:v>
      </x:c>
      <x:c r="N665" s="33" t="str"/>
      <x:c r="O665" s="33" t="str"/>
      <x:c r="P665" s="33" t="str">
        <x:v>+224628865212</x:v>
      </x:c>
      <x:c r="Q665" s="33" t="str"/>
      <x:c r="R665" s="33" t="str"/>
      <x:c r="S665" s="33" t="str"/>
      <x:c r="T665" s="35" t="n">
        <x:v>9.5965425</x:v>
      </x:c>
      <x:c r="U665" s="35" t="n">
        <x:v>-13.6283162</x:v>
      </x:c>
      <x:c r="V665" s="33" t="str">
        <x:v>https://www.openstreetmap.org/node/6037440955</x:v>
      </x:c>
      <x:c r="W665" s="33" t="str">
        <x:v>node/6037440955</x:v>
      </x:c>
      <x:c r="X665" s="33" t="str">
        <x:v>review_required</x:v>
      </x:c>
      <x:c r="Y665" s="33" t="str">
        <x:v>sierra international school|conakry a verifier</x:v>
      </x:c>
      <x:c r="Z665" s="33" t="str">
        <x:v>224628865212</x:v>
      </x:c>
      <x:c r="AA665" s="33" t="str"/>
    </x:row>
    <x:row r="666">
      <x:c r="A666" s="30" t="str">
        <x:v>À vérifier</x:v>
      </x:c>
      <x:c r="B666" s="30" t="str"/>
      <x:c r="C666" s="31"/>
      <x:c r="D666" s="30" t="str">
        <x:v>Non vérifié</x:v>
      </x:c>
      <x:c r="E666" s="30" t="str"/>
      <x:c r="F666" s="30" t="str"/>
      <x:c r="G666" s="32" t="str"/>
      <x:c r="H666" s="33" t="str">
        <x:f>IF(I666&lt;&gt;"","Doublon possible","")</x:f>
      </x:c>
      <x:c r="I666" s="33" t="str">
        <x:f>IF(COUNTIFS($Y$9:$Y$678,Y666)&gt;1,"Nom + ville",IF(AND(Z666&lt;&gt;"",COUNTIFS($Z$9:$Z$678,Z666)&gt;1),"Téléphone",IF(AND(AA666&lt;&gt;"",COUNTIFS($AA$9:$AA$678,AA666)&gt;1),"Site web","")))</x:f>
      </x:c>
      <x:c r="J666" s="33" t="str">
        <x:v>UNC</x:v>
      </x:c>
      <x:c r="K666" s="33" t="str">
        <x:v>Éducation</x:v>
      </x:c>
      <x:c r="L666" s="33" t="str">
        <x:v>Universités</x:v>
      </x:c>
      <x:c r="M666" s="33" t="str">
        <x:v>Conakry (à vérifier)</x:v>
      </x:c>
      <x:c r="N666" s="33" t="str"/>
      <x:c r="O666" s="33" t="str"/>
      <x:c r="P666" s="33" t="str">
        <x:v>+224 622 21 49 59</x:v>
      </x:c>
      <x:c r="Q666" s="33" t="str">
        <x:v>info@uncgn.com</x:v>
      </x:c>
      <x:c r="R666" s="33" t="str">
        <x:v>http://uncgn.com</x:v>
      </x:c>
      <x:c r="S666" s="33" t="str"/>
      <x:c r="T666" s="35" t="n">
        <x:v>9.6157123</x:v>
      </x:c>
      <x:c r="U666" s="35" t="n">
        <x:v>-13.6338558</x:v>
      </x:c>
      <x:c r="V666" s="33" t="str">
        <x:v>https://www.openstreetmap.org/way/504460776</x:v>
      </x:c>
      <x:c r="W666" s="33" t="str">
        <x:v>way/504460776</x:v>
      </x:c>
      <x:c r="X666" s="33" t="str">
        <x:v>review_required</x:v>
      </x:c>
      <x:c r="Y666" s="33" t="str">
        <x:v>unc|conakry a verifier</x:v>
      </x:c>
      <x:c r="Z666" s="33" t="str">
        <x:v>224622214959</x:v>
      </x:c>
      <x:c r="AA666" s="33" t="str">
        <x:v>uncgn.com</x:v>
      </x:c>
    </x:row>
    <x:row r="667">
      <x:c r="A667" s="30" t="str">
        <x:v>À vérifier</x:v>
      </x:c>
      <x:c r="B667" s="30" t="str"/>
      <x:c r="C667" s="31"/>
      <x:c r="D667" s="30" t="str">
        <x:v>Non vérifié</x:v>
      </x:c>
      <x:c r="E667" s="30" t="str"/>
      <x:c r="F667" s="30" t="str"/>
      <x:c r="G667" s="32" t="str"/>
      <x:c r="H667" s="33" t="str">
        <x:f>IF(I667&lt;&gt;"","Doublon possible","")</x:f>
      </x:c>
      <x:c r="I667" s="33" t="str">
        <x:f>IF(COUNTIFS($Y$9:$Y$678,Y667)&gt;1,"Nom + ville",IF(AND(Z667&lt;&gt;"",COUNTIFS($Z$9:$Z$678,Z667)&gt;1),"Téléphone",IF(AND(AA667&lt;&gt;"",COUNTIFS($AA$9:$AA$678,AA667)&gt;1),"Site web","")))</x:f>
      </x:c>
      <x:c r="J667" s="33" t="str">
        <x:v>Université Barack Obama</x:v>
      </x:c>
      <x:c r="K667" s="33" t="str">
        <x:v>Éducation</x:v>
      </x:c>
      <x:c r="L667" s="33" t="str">
        <x:v>Universités</x:v>
      </x:c>
      <x:c r="M667" s="33" t="str">
        <x:v>Conakry (à vérifier)</x:v>
      </x:c>
      <x:c r="N667" s="33" t="str"/>
      <x:c r="O667" s="33" t="str">
        <x:v>BP: 953, Sonfonia Gare 1, Ratoma, Conakry, Guinée</x:v>
      </x:c>
      <x:c r="P667" s="33" t="str">
        <x:v>+224 657360320;+224 628585715</x:v>
      </x:c>
      <x:c r="Q667" s="33" t="str">
        <x:v>recteur@univ-barackobama.com</x:v>
      </x:c>
      <x:c r="R667" s="33" t="str">
        <x:v>http://www.univ-barackobama.com</x:v>
      </x:c>
      <x:c r="S667" s="33" t="str"/>
      <x:c r="T667" s="35" t="n">
        <x:v>9.6760446</x:v>
      </x:c>
      <x:c r="U667" s="35" t="n">
        <x:v>-13.5541173</x:v>
      </x:c>
      <x:c r="V667" s="33" t="str">
        <x:v>https://www.openstreetmap.org/way/505433989</x:v>
      </x:c>
      <x:c r="W667" s="33" t="str">
        <x:v>way/505433989</x:v>
      </x:c>
      <x:c r="X667" s="33" t="str">
        <x:v>review_required</x:v>
      </x:c>
      <x:c r="Y667" s="33" t="str">
        <x:v>universite barack obama|conakry a verifier</x:v>
      </x:c>
      <x:c r="Z667" s="33" t="str">
        <x:v>224657360320224628585715</x:v>
      </x:c>
      <x:c r="AA667" s="33" t="str">
        <x:v>univ-barackobama.com</x:v>
      </x:c>
    </x:row>
    <x:row r="668">
      <x:c r="A668" s="30" t="str">
        <x:v>À vérifier</x:v>
      </x:c>
      <x:c r="B668" s="30" t="str"/>
      <x:c r="C668" s="31"/>
      <x:c r="D668" s="30" t="str">
        <x:v>Non vérifié</x:v>
      </x:c>
      <x:c r="E668" s="30" t="str"/>
      <x:c r="F668" s="30" t="str"/>
      <x:c r="G668" s="32" t="str"/>
      <x:c r="H668" s="33" t="str">
        <x:f>IF(I668&lt;&gt;"","Doublon possible","")</x:f>
      </x:c>
      <x:c r="I668" s="33" t="str">
        <x:f>IF(COUNTIFS($Y$9:$Y$678,Y668)&gt;1,"Nom + ville",IF(AND(Z668&lt;&gt;"",COUNTIFS($Z$9:$Z$678,Z668)&gt;1),"Téléphone",IF(AND(AA668&lt;&gt;"",COUNTIFS($AA$9:$AA$678,AA668)&gt;1),"Site web","")))</x:f>
      </x:c>
      <x:c r="J668" s="33" t="str">
        <x:v>Université Catholique de l’Afrique de l’Ouest (UCAO - UUCo)</x:v>
      </x:c>
      <x:c r="K668" s="33" t="str">
        <x:v>Éducation</x:v>
      </x:c>
      <x:c r="L668" s="33" t="str">
        <x:v>Universités</x:v>
      </x:c>
      <x:c r="M668" s="33" t="str">
        <x:v>Conakry</x:v>
      </x:c>
      <x:c r="N668" s="33" t="str"/>
      <x:c r="O668" s="33" t="str">
        <x:v>Coleah Cité</x:v>
      </x:c>
      <x:c r="P668" s="33" t="str">
        <x:v>621 28 66 81</x:v>
      </x:c>
      <x:c r="Q668" s="33" t="str">
        <x:v>info@ucao-uuco.com</x:v>
      </x:c>
      <x:c r="R668" s="33" t="str">
        <x:v>https://www.ucao-uuco.com/</x:v>
      </x:c>
      <x:c r="S668" s="33" t="str"/>
      <x:c r="T668" s="35" t="n">
        <x:v>9.5380979</x:v>
      </x:c>
      <x:c r="U668" s="35" t="n">
        <x:v>-13.6754076</x:v>
      </x:c>
      <x:c r="V668" s="33" t="str">
        <x:v>https://www.openstreetmap.org/node/8476877524</x:v>
      </x:c>
      <x:c r="W668" s="33" t="str">
        <x:v>node/8476877524</x:v>
      </x:c>
      <x:c r="X668" s="33" t="str">
        <x:v>review_required</x:v>
      </x:c>
      <x:c r="Y668" s="33" t="str">
        <x:v>universite catholique de l afrique de l ouest ucao uuco|conakry</x:v>
      </x:c>
      <x:c r="Z668" s="33" t="str">
        <x:v>224621286681</x:v>
      </x:c>
      <x:c r="AA668" s="33" t="str">
        <x:v>ucao-uuco.com</x:v>
      </x:c>
    </x:row>
    <x:row r="669">
      <x:c r="A669" s="30" t="str">
        <x:v>À vérifier</x:v>
      </x:c>
      <x:c r="B669" s="30" t="str"/>
      <x:c r="C669" s="31"/>
      <x:c r="D669" s="30" t="str">
        <x:v>Non vérifié</x:v>
      </x:c>
      <x:c r="E669" s="30" t="str"/>
      <x:c r="F669" s="30" t="str"/>
      <x:c r="G669" s="32" t="str"/>
      <x:c r="H669" s="33" t="str">
        <x:f>IF(I669&lt;&gt;"","Doublon possible","")</x:f>
      </x:c>
      <x:c r="I669" s="33" t="str">
        <x:f>IF(COUNTIFS($Y$9:$Y$678,Y669)&gt;1,"Nom + ville",IF(AND(Z669&lt;&gt;"",COUNTIFS($Z$9:$Z$678,Z669)&gt;1),"Téléphone",IF(AND(AA669&lt;&gt;"",COUNTIFS($AA$9:$AA$678,AA669)&gt;1),"Site web","")))</x:f>
      </x:c>
      <x:c r="J669" s="33" t="str">
        <x:v>Université Général Lansana CONTE de Lambanyi</x:v>
      </x:c>
      <x:c r="K669" s="33" t="str">
        <x:v>Éducation</x:v>
      </x:c>
      <x:c r="L669" s="33" t="str">
        <x:v>Universités</x:v>
      </x:c>
      <x:c r="M669" s="33" t="str">
        <x:v>Conakry (à vérifier)</x:v>
      </x:c>
      <x:c r="N669" s="33" t="str"/>
      <x:c r="O669" s="33" t="str"/>
      <x:c r="P669" s="33" t="str">
        <x:v>+224622104352</x:v>
      </x:c>
      <x:c r="Q669" s="33" t="str"/>
      <x:c r="R669" s="33" t="str"/>
      <x:c r="S669" s="33" t="str"/>
      <x:c r="T669" s="35" t="n">
        <x:v>9.6364757</x:v>
      </x:c>
      <x:c r="U669" s="35" t="n">
        <x:v>-13.6101755</x:v>
      </x:c>
      <x:c r="V669" s="33" t="str">
        <x:v>https://www.openstreetmap.org/node/5528603223</x:v>
      </x:c>
      <x:c r="W669" s="33" t="str">
        <x:v>node/5528603223</x:v>
      </x:c>
      <x:c r="X669" s="33" t="str">
        <x:v>review_required</x:v>
      </x:c>
      <x:c r="Y669" s="33" t="str">
        <x:v>universite general lansana conte de lambanyi|conakry a verifier</x:v>
      </x:c>
      <x:c r="Z669" s="33" t="str">
        <x:v>224622104352</x:v>
      </x:c>
      <x:c r="AA669" s="33" t="str"/>
    </x:row>
    <x:row r="670">
      <x:c r="A670" s="30" t="str">
        <x:v>À vérifier</x:v>
      </x:c>
      <x:c r="B670" s="30" t="str"/>
      <x:c r="C670" s="31"/>
      <x:c r="D670" s="30" t="str">
        <x:v>Non vérifié</x:v>
      </x:c>
      <x:c r="E670" s="30" t="str"/>
      <x:c r="F670" s="30" t="str"/>
      <x:c r="G670" s="32" t="str"/>
      <x:c r="H670" s="33" t="str">
        <x:f>IF(I670&lt;&gt;"","Doublon possible","")</x:f>
      </x:c>
      <x:c r="I670" s="33" t="str">
        <x:f>IF(COUNTIFS($Y$9:$Y$678,Y670)&gt;1,"Nom + ville",IF(AND(Z670&lt;&gt;"",COUNTIFS($Z$9:$Z$678,Z670)&gt;1),"Téléphone",IF(AND(AA670&lt;&gt;"",COUNTIFS($AA$9:$AA$678,AA670)&gt;1),"Site web","")))</x:f>
      </x:c>
      <x:c r="J670" s="33" t="str">
        <x:v>Université Général Lansana Conté de Sonfonia</x:v>
      </x:c>
      <x:c r="K670" s="33" t="str">
        <x:v>Éducation</x:v>
      </x:c>
      <x:c r="L670" s="33" t="str">
        <x:v>Universités</x:v>
      </x:c>
      <x:c r="M670" s="33" t="str">
        <x:v>Conakry</x:v>
      </x:c>
      <x:c r="N670" s="33" t="str"/>
      <x:c r="O670" s="33" t="str">
        <x:v>Sonfonia</x:v>
      </x:c>
      <x:c r="P670" s="33" t="str">
        <x:v>+224 628 906 728</x:v>
      </x:c>
      <x:c r="Q670" s="33" t="str">
        <x:v>contact@uglcsonfonia.org</x:v>
      </x:c>
      <x:c r="R670" s="33" t="str">
        <x:v>https://uglcsonfonia.org/</x:v>
      </x:c>
      <x:c r="S670" s="33" t="str"/>
      <x:c r="T670" s="35" t="n">
        <x:v>9.6798392</x:v>
      </x:c>
      <x:c r="U670" s="35" t="n">
        <x:v>-13.58113</x:v>
      </x:c>
      <x:c r="V670" s="33" t="str">
        <x:v>https://www.openstreetmap.org/way/504220641</x:v>
      </x:c>
      <x:c r="W670" s="33" t="str">
        <x:v>way/504220641</x:v>
      </x:c>
      <x:c r="X670" s="33" t="str">
        <x:v>review_required</x:v>
      </x:c>
      <x:c r="Y670" s="33" t="str">
        <x:v>universite general lansana conte de sonfonia|conakry</x:v>
      </x:c>
      <x:c r="Z670" s="33" t="str">
        <x:v>224628906728</x:v>
      </x:c>
      <x:c r="AA670" s="33" t="str">
        <x:v>uglcsonfonia.org</x:v>
      </x:c>
    </x:row>
    <x:row r="671">
      <x:c r="A671" s="30" t="str">
        <x:v>À vérifier</x:v>
      </x:c>
      <x:c r="B671" s="30" t="str"/>
      <x:c r="C671" s="31"/>
      <x:c r="D671" s="30" t="str">
        <x:v>Non vérifié</x:v>
      </x:c>
      <x:c r="E671" s="30" t="str"/>
      <x:c r="F671" s="30" t="str"/>
      <x:c r="G671" s="32" t="str"/>
      <x:c r="H671" s="33" t="str">
        <x:f>IF(I671&lt;&gt;"","Doublon possible","")</x:f>
      </x:c>
      <x:c r="I671" s="33" t="str">
        <x:f>IF(COUNTIFS($Y$9:$Y$678,Y671)&gt;1,"Nom + ville",IF(AND(Z671&lt;&gt;"",COUNTIFS($Z$9:$Z$678,Z671)&gt;1),"Téléphone",IF(AND(AA671&lt;&gt;"",COUNTIFS($AA$9:$AA$678,AA671)&gt;1),"Site web","")))</x:f>
      </x:c>
      <x:c r="J671" s="33" t="str">
        <x:v>Université Kofi Annan de Guinée</x:v>
      </x:c>
      <x:c r="K671" s="33" t="str">
        <x:v>Éducation</x:v>
      </x:c>
      <x:c r="L671" s="33" t="str">
        <x:v>Universités</x:v>
      </x:c>
      <x:c r="M671" s="33" t="str">
        <x:v>Conakry (à vérifier)</x:v>
      </x:c>
      <x:c r="N671" s="33" t="str"/>
      <x:c r="O671" s="33" t="str"/>
      <x:c r="P671" s="33" t="str">
        <x:v>+224 622 45 58 54</x:v>
      </x:c>
      <x:c r="Q671" s="33" t="str">
        <x:v>cellulecom@univ-kag.org</x:v>
      </x:c>
      <x:c r="R671" s="33" t="str">
        <x:v>https://www.univ-kag.org/</x:v>
      </x:c>
      <x:c r="S671" s="33" t="str"/>
      <x:c r="T671" s="35" t="n">
        <x:v>9.615801</x:v>
      </x:c>
      <x:c r="U671" s="35" t="n">
        <x:v>-13.6379678</x:v>
      </x:c>
      <x:c r="V671" s="33" t="str">
        <x:v>https://www.openstreetmap.org/way/338945649</x:v>
      </x:c>
      <x:c r="W671" s="33" t="str">
        <x:v>way/338945649</x:v>
      </x:c>
      <x:c r="X671" s="33" t="str">
        <x:v>review_required</x:v>
      </x:c>
      <x:c r="Y671" s="33" t="str">
        <x:v>universite kofi annan de guinee|conakry a verifier</x:v>
      </x:c>
      <x:c r="Z671" s="33" t="str">
        <x:v>224622455854</x:v>
      </x:c>
      <x:c r="AA671" s="33" t="str">
        <x:v>univ-kag.org</x:v>
      </x:c>
    </x:row>
    <x:row r="672">
      <x:c r="A672" s="30" t="str">
        <x:v>À vérifier</x:v>
      </x:c>
      <x:c r="B672" s="30" t="str"/>
      <x:c r="C672" s="31"/>
      <x:c r="D672" s="30" t="str">
        <x:v>Non vérifié</x:v>
      </x:c>
      <x:c r="E672" s="30" t="str"/>
      <x:c r="F672" s="30" t="str"/>
      <x:c r="G672" s="32" t="str"/>
      <x:c r="H672" s="33" t="str">
        <x:f>IF(I672&lt;&gt;"","Doublon possible","")</x:f>
      </x:c>
      <x:c r="I672" s="33" t="str">
        <x:f>IF(COUNTIFS($Y$9:$Y$678,Y672)&gt;1,"Nom + ville",IF(AND(Z672&lt;&gt;"",COUNTIFS($Z$9:$Z$678,Z672)&gt;1),"Téléphone",IF(AND(AA672&lt;&gt;"",COUNTIFS($AA$9:$AA$678,AA672)&gt;1),"Site web","")))</x:f>
      </x:c>
      <x:c r="J672" s="33" t="str">
        <x:v>Université Libre de Guinée (ULG)</x:v>
      </x:c>
      <x:c r="K672" s="33" t="str">
        <x:v>Éducation</x:v>
      </x:c>
      <x:c r="L672" s="33" t="str">
        <x:v>Universités</x:v>
      </x:c>
      <x:c r="M672" s="33" t="str">
        <x:v>Conakry (à vérifier)</x:v>
      </x:c>
      <x:c r="N672" s="33" t="str"/>
      <x:c r="O672" s="33" t="str"/>
      <x:c r="P672" s="33" t="str">
        <x:v>656134728 / 620603434</x:v>
      </x:c>
      <x:c r="Q672" s="33" t="str"/>
      <x:c r="R672" s="33" t="str">
        <x:v>www.ugl-edu.net</x:v>
      </x:c>
      <x:c r="S672" s="33" t="str"/>
      <x:c r="T672" s="35" t="n">
        <x:v>9.5786448</x:v>
      </x:c>
      <x:c r="U672" s="35" t="n">
        <x:v>-13.6215892</x:v>
      </x:c>
      <x:c r="V672" s="33" t="str">
        <x:v>https://www.openstreetmap.org/way/798320946</x:v>
      </x:c>
      <x:c r="W672" s="33" t="str">
        <x:v>way/798320946</x:v>
      </x:c>
      <x:c r="X672" s="33" t="str">
        <x:v>review_required</x:v>
      </x:c>
      <x:c r="Y672" s="33" t="str">
        <x:v>universite libre de guinee ulg|conakry a verifier</x:v>
      </x:c>
      <x:c r="Z672" s="33" t="str">
        <x:v>656134728620603434</x:v>
      </x:c>
      <x:c r="AA672" s="33" t="str">
        <x:v>ugl-edu.net</x:v>
      </x:c>
    </x:row>
    <x:row r="673">
      <x:c r="A673" s="30" t="str">
        <x:v>À vérifier</x:v>
      </x:c>
      <x:c r="B673" s="30" t="str"/>
      <x:c r="C673" s="31"/>
      <x:c r="D673" s="30" t="str">
        <x:v>Non vérifié</x:v>
      </x:c>
      <x:c r="E673" s="30" t="str"/>
      <x:c r="F673" s="30" t="str"/>
      <x:c r="G673" s="32" t="str"/>
      <x:c r="H673" s="33" t="str">
        <x:f>IF(I673&lt;&gt;"","Doublon possible","")</x:f>
      </x:c>
      <x:c r="I673" s="33" t="str">
        <x:f>IF(COUNTIFS($Y$9:$Y$678,Y673)&gt;1,"Nom + ville",IF(AND(Z673&lt;&gt;"",COUNTIFS($Z$9:$Z$678,Z673)&gt;1),"Téléphone",IF(AND(AA673&lt;&gt;"",COUNTIFS($AA$9:$AA$678,AA673)&gt;1),"Site web","")))</x:f>
      </x:c>
      <x:c r="J673" s="33" t="str">
        <x:v>Université Moderne de Gestion Appliquée (UMGA)</x:v>
      </x:c>
      <x:c r="K673" s="33" t="str">
        <x:v>Éducation</x:v>
      </x:c>
      <x:c r="L673" s="33" t="str">
        <x:v>Universités</x:v>
      </x:c>
      <x:c r="M673" s="33" t="str">
        <x:v>Conakry (à vérifier)</x:v>
      </x:c>
      <x:c r="N673" s="33" t="str"/>
      <x:c r="O673" s="33" t="str"/>
      <x:c r="P673" s="33" t="str">
        <x:v>+224 669 39 86 54</x:v>
      </x:c>
      <x:c r="Q673" s="33" t="str">
        <x:v>contact@umgaguinee.com</x:v>
      </x:c>
      <x:c r="R673" s="33" t="str">
        <x:v>www.umgaguinee.com</x:v>
      </x:c>
      <x:c r="S673" s="33" t="str"/>
      <x:c r="T673" s="35" t="n">
        <x:v>9.6377445</x:v>
      </x:c>
      <x:c r="U673" s="35" t="n">
        <x:v>-13.621519</x:v>
      </x:c>
      <x:c r="V673" s="33" t="str">
        <x:v>https://www.openstreetmap.org/way/578102634</x:v>
      </x:c>
      <x:c r="W673" s="33" t="str">
        <x:v>way/578102634</x:v>
      </x:c>
      <x:c r="X673" s="33" t="str">
        <x:v>review_required</x:v>
      </x:c>
      <x:c r="Y673" s="33" t="str">
        <x:v>universite moderne de gestion appliquee umga|conakry a verifier</x:v>
      </x:c>
      <x:c r="Z673" s="33" t="str">
        <x:v>224669398654</x:v>
      </x:c>
      <x:c r="AA673" s="33" t="str">
        <x:v>umgaguinee.com</x:v>
      </x:c>
    </x:row>
    <x:row r="674">
      <x:c r="A674" s="30" t="str">
        <x:v>À vérifier</x:v>
      </x:c>
      <x:c r="B674" s="30" t="str"/>
      <x:c r="C674" s="31"/>
      <x:c r="D674" s="30" t="str">
        <x:v>Non vérifié</x:v>
      </x:c>
      <x:c r="E674" s="30" t="str"/>
      <x:c r="F674" s="30" t="str"/>
      <x:c r="G674" s="32" t="str"/>
      <x:c r="H674" s="33" t="str">
        <x:f>IF(I674&lt;&gt;"","Doublon possible","")</x:f>
      </x:c>
      <x:c r="I674" s="33" t="str">
        <x:f>IF(COUNTIFS($Y$9:$Y$678,Y674)&gt;1,"Nom + ville",IF(AND(Z674&lt;&gt;"",COUNTIFS($Z$9:$Z$678,Z674)&gt;1),"Téléphone",IF(AND(AA674&lt;&gt;"",COUNTIFS($AA$9:$AA$678,AA674)&gt;1),"Site web","")))</x:f>
      </x:c>
      <x:c r="J674" s="33" t="str">
        <x:v>Université Rene Levesque</x:v>
      </x:c>
      <x:c r="K674" s="33" t="str">
        <x:v>Éducation</x:v>
      </x:c>
      <x:c r="L674" s="33" t="str">
        <x:v>Universités</x:v>
      </x:c>
      <x:c r="M674" s="33" t="str">
        <x:v>Conakry (à vérifier)</x:v>
      </x:c>
      <x:c r="N674" s="33" t="str"/>
      <x:c r="O674" s="33" t="str">
        <x:v>Rue Prince</x:v>
      </x:c>
      <x:c r="P674" s="33" t="str"/>
      <x:c r="Q674" s="33" t="str"/>
      <x:c r="R674" s="33" t="str"/>
      <x:c r="S674" s="33" t="str"/>
      <x:c r="T674" s="35" t="n">
        <x:v>9.5837895</x:v>
      </x:c>
      <x:c r="U674" s="35" t="n">
        <x:v>-13.6443645</x:v>
      </x:c>
      <x:c r="V674" s="33" t="str">
        <x:v>https://www.openstreetmap.org/node/4475188191</x:v>
      </x:c>
      <x:c r="W674" s="33" t="str">
        <x:v>node/4475188191</x:v>
      </x:c>
      <x:c r="X674" s="33" t="str">
        <x:v>review_required</x:v>
      </x:c>
      <x:c r="Y674" s="33" t="str">
        <x:v>universite rene levesque|conakry a verifier</x:v>
      </x:c>
      <x:c r="Z674" s="33" t="str"/>
      <x:c r="AA674" s="33" t="str"/>
    </x:row>
    <x:row r="675">
      <x:c r="A675" s="30" t="str">
        <x:v>À vérifier</x:v>
      </x:c>
      <x:c r="B675" s="30" t="str"/>
      <x:c r="C675" s="31"/>
      <x:c r="D675" s="30" t="str">
        <x:v>Non vérifié</x:v>
      </x:c>
      <x:c r="E675" s="30" t="str"/>
      <x:c r="F675" s="30" t="str"/>
      <x:c r="G675" s="32" t="str"/>
      <x:c r="H675" s="33" t="str">
        <x:f>IF(I675&lt;&gt;"","Doublon possible","")</x:f>
      </x:c>
      <x:c r="I675" s="33" t="str">
        <x:f>IF(COUNTIFS($Y$9:$Y$678,Y675)&gt;1,"Nom + ville",IF(AND(Z675&lt;&gt;"",COUNTIFS($Z$9:$Z$678,Z675)&gt;1),"Téléphone",IF(AND(AA675&lt;&gt;"",COUNTIFS($AA$9:$AA$678,AA675)&gt;1),"Site web","")))</x:f>
      </x:c>
      <x:c r="J675" s="33" t="str">
        <x:v>École El Hadj Oumar Tall</x:v>
      </x:c>
      <x:c r="K675" s="33" t="str">
        <x:v>Éducation</x:v>
      </x:c>
      <x:c r="L675" s="33" t="str">
        <x:v>Écoles</x:v>
      </x:c>
      <x:c r="M675" s="33" t="str">
        <x:v>Conakry (à vérifier)</x:v>
      </x:c>
      <x:c r="N675" s="33" t="str"/>
      <x:c r="O675" s="33" t="str"/>
      <x:c r="P675" s="33" t="str">
        <x:v>+224622150150</x:v>
      </x:c>
      <x:c r="Q675" s="33" t="str"/>
      <x:c r="R675" s="33" t="str"/>
      <x:c r="S675" s="33" t="str"/>
      <x:c r="T675" s="35" t="n">
        <x:v>9.5397696</x:v>
      </x:c>
      <x:c r="U675" s="35" t="n">
        <x:v>-13.6686156</x:v>
      </x:c>
      <x:c r="V675" s="33" t="str">
        <x:v>https://www.openstreetmap.org/node/5952487585</x:v>
      </x:c>
      <x:c r="W675" s="33" t="str">
        <x:v>node/5952487585</x:v>
      </x:c>
      <x:c r="X675" s="33" t="str">
        <x:v>review_required</x:v>
      </x:c>
      <x:c r="Y675" s="33" t="str">
        <x:v>ecole el hadj oumar tall|conakry a verifier</x:v>
      </x:c>
      <x:c r="Z675" s="33" t="str">
        <x:v>224622150150</x:v>
      </x:c>
      <x:c r="AA675" s="33" t="str"/>
    </x:row>
    <x:row r="676">
      <x:c r="A676" s="30" t="str">
        <x:v>À vérifier</x:v>
      </x:c>
      <x:c r="B676" s="30" t="str"/>
      <x:c r="C676" s="31"/>
      <x:c r="D676" s="30" t="str">
        <x:v>Non vérifié</x:v>
      </x:c>
      <x:c r="E676" s="30" t="str"/>
      <x:c r="F676" s="30" t="str"/>
      <x:c r="G676" s="32" t="str"/>
      <x:c r="H676" s="33" t="str">
        <x:f>IF(I676&lt;&gt;"","Doublon possible","")</x:f>
      </x:c>
      <x:c r="I676" s="33" t="str">
        <x:f>IF(COUNTIFS($Y$9:$Y$678,Y676)&gt;1,"Nom + ville",IF(AND(Z676&lt;&gt;"",COUNTIFS($Z$9:$Z$678,Z676)&gt;1),"Téléphone",IF(AND(AA676&lt;&gt;"",COUNTIFS($AA$9:$AA$678,AA676)&gt;1),"Site web","")))</x:f>
      </x:c>
      <x:c r="J676" s="33" t="str">
        <x:v>École M'mah Tiranké Keita</x:v>
      </x:c>
      <x:c r="K676" s="33" t="str">
        <x:v>Éducation</x:v>
      </x:c>
      <x:c r="L676" s="33" t="str">
        <x:v>Écoles</x:v>
      </x:c>
      <x:c r="M676" s="33" t="str">
        <x:v>Conakry (à vérifier)</x:v>
      </x:c>
      <x:c r="N676" s="33" t="str"/>
      <x:c r="O676" s="33" t="str"/>
      <x:c r="P676" s="33" t="str">
        <x:v>+224657327531</x:v>
      </x:c>
      <x:c r="Q676" s="33" t="str"/>
      <x:c r="R676" s="33" t="str"/>
      <x:c r="S676" s="33" t="str"/>
      <x:c r="T676" s="35" t="n">
        <x:v>9.6152753</x:v>
      </x:c>
      <x:c r="U676" s="35" t="n">
        <x:v>-13.6428155</x:v>
      </x:c>
      <x:c r="V676" s="33" t="str">
        <x:v>https://www.openstreetmap.org/node/5611986206</x:v>
      </x:c>
      <x:c r="W676" s="33" t="str">
        <x:v>node/5611986206</x:v>
      </x:c>
      <x:c r="X676" s="33" t="str">
        <x:v>review_required</x:v>
      </x:c>
      <x:c r="Y676" s="33" t="str">
        <x:v>ecole m mah tiranke keita|conakry a verifier</x:v>
      </x:c>
      <x:c r="Z676" s="33" t="str">
        <x:v>224657327531</x:v>
      </x:c>
      <x:c r="AA676" s="33" t="str"/>
    </x:row>
    <x:row r="677">
      <x:c r="A677" s="30" t="str">
        <x:v>À vérifier</x:v>
      </x:c>
      <x:c r="B677" s="30" t="str"/>
      <x:c r="C677" s="31"/>
      <x:c r="D677" s="30" t="str">
        <x:v>Non vérifié</x:v>
      </x:c>
      <x:c r="E677" s="30" t="str"/>
      <x:c r="F677" s="30" t="str"/>
      <x:c r="G677" s="32" t="str"/>
      <x:c r="H677" s="33" t="str">
        <x:f>IF(I677&lt;&gt;"","Doublon possible","")</x:f>
      </x:c>
      <x:c r="I677" s="33" t="str">
        <x:f>IF(COUNTIFS($Y$9:$Y$678,Y677)&gt;1,"Nom + ville",IF(AND(Z677&lt;&gt;"",COUNTIFS($Z$9:$Z$678,Z677)&gt;1),"Téléphone",IF(AND(AA677&lt;&gt;"",COUNTIFS($AA$9:$AA$678,AA677)&gt;1),"Site web","")))</x:f>
      </x:c>
      <x:c r="J677" s="33" t="str">
        <x:v>École Nationale des Postes et Télécommunications</x:v>
      </x:c>
      <x:c r="K677" s="33" t="str">
        <x:v>Éducation</x:v>
      </x:c>
      <x:c r="L677" s="33" t="str">
        <x:v>Universités</x:v>
      </x:c>
      <x:c r="M677" s="33" t="str">
        <x:v>Conakry (à vérifier)</x:v>
      </x:c>
      <x:c r="N677" s="33" t="str"/>
      <x:c r="O677" s="33" t="str">
        <x:v>R.O. 100</x:v>
      </x:c>
      <x:c r="P677" s="33" t="str"/>
      <x:c r="Q677" s="33" t="str"/>
      <x:c r="R677" s="33" t="str"/>
      <x:c r="S677" s="33" t="str"/>
      <x:c r="T677" s="35" t="n">
        <x:v>9.6105549</x:v>
      </x:c>
      <x:c r="U677" s="35" t="n">
        <x:v>-13.6469853</x:v>
      </x:c>
      <x:c r="V677" s="33" t="str">
        <x:v>https://www.openstreetmap.org/node/973425173</x:v>
      </x:c>
      <x:c r="W677" s="33" t="str">
        <x:v>node/973425173</x:v>
      </x:c>
      <x:c r="X677" s="33" t="str">
        <x:v>review_required</x:v>
      </x:c>
      <x:c r="Y677" s="33" t="str">
        <x:v>ecole nationale des postes et telecommunications|conakry a verifier</x:v>
      </x:c>
      <x:c r="Z677" s="33" t="str"/>
      <x:c r="AA677" s="33" t="str"/>
    </x:row>
    <x:row r="678">
      <x:c r="A678" s="30" t="str">
        <x:v>À vérifier</x:v>
      </x:c>
      <x:c r="B678" s="30" t="str"/>
      <x:c r="C678" s="31"/>
      <x:c r="D678" s="30" t="str">
        <x:v>Non vérifié</x:v>
      </x:c>
      <x:c r="E678" s="30" t="str"/>
      <x:c r="F678" s="30" t="str"/>
      <x:c r="G678" s="32" t="str"/>
      <x:c r="H678" s="33" t="str">
        <x:f>IF(I678&lt;&gt;"","Doublon possible","")</x:f>
      </x:c>
      <x:c r="I678" s="33" t="str">
        <x:f>IF(COUNTIFS($Y$9:$Y$678,Y678)&gt;1,"Nom + ville",IF(AND(Z678&lt;&gt;"",COUNTIFS($Z$9:$Z$678,Z678)&gt;1),"Téléphone",IF(AND(AA678&lt;&gt;"",COUNTIFS($AA$9:$AA$678,AA678)&gt;1),"Site web","")))</x:f>
      </x:c>
      <x:c r="J678" s="33" t="str">
        <x:v>École privée mes Fleurs</x:v>
      </x:c>
      <x:c r="K678" s="33" t="str">
        <x:v>Éducation</x:v>
      </x:c>
      <x:c r="L678" s="33" t="str">
        <x:v>Écoles</x:v>
      </x:c>
      <x:c r="M678" s="33" t="str">
        <x:v>Conakry (à vérifier)</x:v>
      </x:c>
      <x:c r="N678" s="33" t="str"/>
      <x:c r="O678" s="33" t="str"/>
      <x:c r="P678" s="33" t="str">
        <x:v>+224664266500</x:v>
      </x:c>
      <x:c r="Q678" s="33" t="str">
        <x:v>suziecampell@hotmail.com</x:v>
      </x:c>
      <x:c r="R678" s="33" t="str"/>
      <x:c r="S678" s="33" t="str"/>
      <x:c r="T678" s="35" t="n">
        <x:v>9.5178491</x:v>
      </x:c>
      <x:c r="U678" s="35" t="n">
        <x:v>-13.6960078</x:v>
      </x:c>
      <x:c r="V678" s="33" t="str">
        <x:v>https://www.openstreetmap.org/node/5991401175</x:v>
      </x:c>
      <x:c r="W678" s="33" t="str">
        <x:v>node/5991401175</x:v>
      </x:c>
      <x:c r="X678" s="33" t="str">
        <x:v>review_required</x:v>
      </x:c>
      <x:c r="Y678" s="33" t="str">
        <x:v>ecole privee mes fleurs|conakry a verifier</x:v>
      </x:c>
      <x:c r="Z678" s="33" t="str">
        <x:v>224664266500</x:v>
      </x:c>
      <x:c r="AA678" s="33" t="str"/>
    </x:row>
  </x:sheetData>
  <x:conditionalFormatting sqref="A9:A678">
    <x:cfRule type="containsText" dxfId="0" priority="1" operator="containsText" text="Vérifié - approuvé"/>
    <x:cfRule type="containsText" dxfId="1" priority="2" operator="containsText" text="Rejeté"/>
    <x:cfRule type="containsText" dxfId="2" priority="3" operator="containsText" text="À vérifier"/>
  </x:conditionalFormatting>
  <x:conditionalFormatting sqref="H9:H678">
    <x:cfRule type="containsText" dxfId="3" priority="4" operator="containsText" text="Doublon possible"/>
  </x:conditionalFormatting>
  <x:dataValidations count="2">
    <x:dataValidation type="list" sqref="A9:A678">
      <x:formula1>"À vérifier,En cours,Vérifié - approuvé,Rejeté,Doublon,Fermé,Introuvable,À rappeler"</x:formula1>
    </x:dataValidation>
    <x:dataValidation type="list" sqref="D9:D678">
      <x:formula1>"Non vérifié,Trouvé,Non trouvé,Non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ead57ae320427a"/>
  </x:tableParts>
</x:worksheet>
</file>

<file path=xl/worksheets/sheet2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RowHeight="15"/>
  <x:cols>
    <x:col min="1" max="1" width="25" hidden="0" customWidth="1"/>
    <x:col min="2" max="2" width="44" hidden="0" customWidth="1"/>
    <x:col min="3" max="3" width="52" hidden="0" customWidth="1"/>
    <x:col min="4" max="4" width="48" hidden="0" customWidth="1"/>
  </x:cols>
  <x:sheetData>
    <x:row r="2">
      <x:c r="A2" s="2" t="str">
        <x:v>Guide de vérification</x:v>
      </x:c>
      <x:c r="B2" s="1"/>
      <x:c r="C2" s="1"/>
      <x:c r="D2" s="1"/>
      <x:c r="E2" s="1"/>
      <x:c r="F2" s="1"/>
    </x:row>
    <x:row r="4">
      <x:c r="A4" s="64" t="str">
        <x:v>Statut de revue</x:v>
      </x:c>
      <x:c r="B4" s="65" t="str">
        <x:v>Utilisation</x:v>
      </x:c>
      <x:c r="C4" s="66" t="str">
        <x:v>Publication</x:v>
      </x:c>
      <x:c r="D4" s="67"/>
    </x:row>
    <x:row r="5">
      <x:c r="A5" s="68" t="str">
        <x:v>À vérifier</x:v>
      </x:c>
      <x:c r="B5" s="69" t="str">
        <x:v>Aucune vérification terminée</x:v>
      </x:c>
      <x:c r="C5" s="70" t="str">
        <x:v>Non</x:v>
      </x:c>
      <x:c r="D5" s="67"/>
    </x:row>
    <x:row r="6">
      <x:c r="A6" s="68" t="str">
        <x:v>En cours</x:v>
      </x:c>
      <x:c r="B6" s="69" t="str">
        <x:v>Recherche ou contact en cours</x:v>
      </x:c>
      <x:c r="C6" s="70" t="str">
        <x:v>Non</x:v>
      </x:c>
      <x:c r="D6" s="67"/>
    </x:row>
    <x:row r="7">
      <x:c r="A7" s="68" t="str">
        <x:v>Vérifié - approuvé</x:v>
      </x:c>
      <x:c r="B7" s="69" t="str">
        <x:v>Nom, activité, coordonnées et localisation confirmés</x:v>
      </x:c>
      <x:c r="C7" s="70" t="str">
        <x:v>Oui</x:v>
      </x:c>
      <x:c r="D7" s="67"/>
    </x:row>
    <x:row r="8">
      <x:c r="A8" s="68" t="str">
        <x:v>Rejeté</x:v>
      </x:c>
      <x:c r="B8" s="69" t="str">
        <x:v>Information incorrecte ou hors périmètre</x:v>
      </x:c>
      <x:c r="C8" s="70" t="str">
        <x:v>Non</x:v>
      </x:c>
      <x:c r="D8" s="67"/>
    </x:row>
    <x:row r="9">
      <x:c r="A9" s="68" t="str">
        <x:v>Doublon</x:v>
      </x:c>
      <x:c r="B9" s="69" t="str">
        <x:v>Même activité qu'une autre fiche</x:v>
      </x:c>
      <x:c r="C9" s="70" t="str">
        <x:v>Non</x:v>
      </x:c>
      <x:c r="D9" s="67"/>
    </x:row>
    <x:row r="10">
      <x:c r="A10" s="68" t="str">
        <x:v>Fermé</x:v>
      </x:c>
      <x:c r="B10" s="69" t="str">
        <x:v>Activité confirmée comme fermée</x:v>
      </x:c>
      <x:c r="C10" s="70" t="str">
        <x:v>Non</x:v>
      </x:c>
      <x:c r="D10" s="67"/>
    </x:row>
    <x:row r="11">
      <x:c r="A11" s="68" t="str">
        <x:v>Introuvable</x:v>
      </x:c>
      <x:c r="B11" s="69" t="str">
        <x:v>Impossible de confirmer l'existence</x:v>
      </x:c>
      <x:c r="C11" s="70" t="str">
        <x:v>Non</x:v>
      </x:c>
      <x:c r="D11" s="67"/>
    </x:row>
    <x:row r="12">
      <x:c r="A12" s="71" t="str">
        <x:v>À rappeler</x:v>
      </x:c>
      <x:c r="B12" s="72" t="str">
        <x:v>Contact nécessaire pour terminer la vérification</x:v>
      </x:c>
      <x:c r="C12" s="73" t="str">
        <x:v>Non</x:v>
      </x:c>
      <x:c r="D12" s="67"/>
    </x:row>
    <x:row r="13">
      <x:c r="A13" s="67"/>
      <x:c r="B13" s="67"/>
      <x:c r="C13" s="67"/>
      <x:c r="D13" s="67"/>
    </x:row>
    <x:row r="14">
      <x:c r="A14" s="74" t="str">
        <x:v>Utilisation d'APIP/SYNERGUI</x:v>
      </x:c>
      <x:c r="B14" s="75"/>
      <x:c r="C14" s="75"/>
      <x:c r="D14" s="75"/>
    </x:row>
    <x:row r="15">
      <x:c r="A15" s="76" t="str">
        <x:v>Trouvé</x:v>
      </x:c>
      <x:c r="B15" s="77" t="str">
        <x:v>Une annonce légale correspondante a été trouvée</x:v>
      </x:c>
      <x:c r="C15" s="78" t="str">
        <x:v>Saisir le N° RCCM et le lien ou document utilisé</x:v>
      </x:c>
      <x:c r="D15" s="75"/>
    </x:row>
    <x:row r="16">
      <x:c r="A16" s="68" t="str">
        <x:v>Non trouvé</x:v>
      </x:c>
      <x:c r="B16" s="69" t="str">
        <x:v>Aucune correspondance après recherche raisonnable</x:v>
      </x:c>
      <x:c r="C16" s="70" t="str">
        <x:v>Ne prouve pas que l'activité est inexistante</x:v>
      </x:c>
      <x:c r="D16" s="75"/>
    </x:row>
    <x:row r="17">
      <x:c r="A17" s="71" t="str">
        <x:v>Non applicable</x:v>
      </x:c>
      <x:c r="B17" s="72" t="str">
        <x:v>Service public, lieu ou activité sans enregistrement d'entreprise attendu</x:v>
      </x:c>
      <x:c r="C17" s="73" t="str">
        <x:v>Utiliser une autre source officielle</x:v>
      </x:c>
      <x:c r="D17" s="75"/>
    </x:row>
    <x:row r="18">
      <x:c r="A18" s="75"/>
      <x:c r="B18" s="75"/>
      <x:c r="C18" s="75"/>
      <x:c r="D18" s="75"/>
    </x:row>
    <x:row r="19">
      <x:c r="A19" s="64" t="str">
        <x:v>Source</x:v>
      </x:c>
      <x:c r="B19" s="65" t="str">
        <x:v>Utilisation</x:v>
      </x:c>
      <x:c r="C19" s="65" t="str">
        <x:v>Adresse</x:v>
      </x:c>
      <x:c r="D19" s="66" t="str">
        <x:v>Licence / limite</x:v>
      </x:c>
    </x:row>
    <x:row r="20">
      <x:c r="A20" s="68" t="str">
        <x:v>OpenStreetMap</x:v>
      </x:c>
      <x:c r="B20" s="69" t="str">
        <x:v>Découverte initiale des lieux et coordonnées</x:v>
      </x:c>
      <x:c r="C20" s="69" t="str">
        <x:v>https://www.openstreetmap.org/copyright</x:v>
      </x:c>
      <x:c r="D20" s="70" t="str">
        <x:v>ODbL; données collaboratives à vérifier</x:v>
      </x:c>
    </x:row>
    <x:row r="21">
      <x:c r="A21" s="68" t="str">
        <x:v>APIP/SYNERGUI</x:v>
      </x:c>
      <x:c r="B21" s="69" t="str">
        <x:v>Vérification de l'existence légale et du RCCM</x:v>
      </x:c>
      <x:c r="C21" s="69" t="str">
        <x:v>https://synergui.apipguinee.com/annonces-legales</x:v>
      </x:c>
      <x:c r="D21" s="70" t="str">
        <x:v>Registre officiel; ne confirme pas les horaires ou la localisation actuelle</x:v>
      </x:c>
    </x:row>
    <x:row r="22">
      <x:c r="A22" s="71" t="str">
        <x:v>Open Admin Data</x:v>
      </x:c>
      <x:c r="B22" s="72" t="str">
        <x:v>Référentiel régions, préfectures et sous-préfectures</x:v>
      </x:c>
      <x:c r="C22" s="72" t="str">
        <x:v>https://github.com/open-admin-data/guinea-administrative-divisions</x:v>
      </x:c>
      <x:c r="D22" s="73" t="str">
        <x:v>CC BY 4.0; libellés à confirmer avant production</x:v>
      </x:c>
    </x:row>
  </x:sheetData>
  <x:pageMargins left="0.7" right="0.7" top="0.75" bottom="0.75" header="0.3" footer="0.3"/>
</x:worksheet>
</file>